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irweldbreizh-my.sharepoint.com/personal/briosque_stirweld_com/Documents/Technique/03- Automatisme_Elec/01-Automatisme/19_Stock/"/>
    </mc:Choice>
  </mc:AlternateContent>
  <xr:revisionPtr revIDLastSave="2649" documentId="14_{E1A74482-77EF-4A9D-A621-93BFEC139D53}" xr6:coauthVersionLast="47" xr6:coauthVersionMax="47" xr10:uidLastSave="{FA4086A0-2A9E-4D97-8940-468B6CDE9B5F}"/>
  <bookViews>
    <workbookView xWindow="-108" yWindow="-108" windowWidth="23256" windowHeight="12456" xr2:uid="{494F4ECC-91A3-4C9F-9143-D0BA946B5FA9}"/>
  </bookViews>
  <sheets>
    <sheet name="Stock" sheetId="1" r:id="rId1"/>
    <sheet name="Marques" sheetId="2" r:id="rId2"/>
    <sheet name="Fournisseurs" sheetId="3" r:id="rId3"/>
    <sheet name="Consomable" sheetId="4" r:id="rId4"/>
  </sheets>
  <definedNames>
    <definedName name="_xlnm._FilterDatabase" localSheetId="2" hidden="1">Fournisseurs!$A$1:$A$9</definedName>
    <definedName name="_xlnm._FilterDatabase" localSheetId="0" hidden="1">Stock!$A$1:$G$318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1" l="1"/>
  <c r="G238" i="1"/>
  <c r="G204" i="1"/>
  <c r="G266" i="1"/>
  <c r="G264" i="1"/>
  <c r="G230" i="1"/>
  <c r="G186" i="1"/>
  <c r="G146" i="1"/>
  <c r="G145" i="1"/>
  <c r="G144" i="1"/>
  <c r="G147" i="1"/>
  <c r="G110" i="1"/>
  <c r="G3" i="1"/>
  <c r="G2" i="1"/>
  <c r="G94" i="1"/>
  <c r="G96" i="1"/>
  <c r="G90" i="1"/>
  <c r="G82" i="1"/>
  <c r="G81" i="1"/>
  <c r="G165" i="1"/>
  <c r="G79" i="1"/>
  <c r="G70" i="1"/>
  <c r="G80" i="1"/>
  <c r="G21" i="1"/>
  <c r="G263" i="1"/>
  <c r="G265" i="1"/>
  <c r="G28" i="1"/>
  <c r="G270" i="1"/>
  <c r="G277" i="1"/>
  <c r="G108" i="1"/>
  <c r="G107" i="1"/>
  <c r="G105" i="1"/>
  <c r="G102" i="1"/>
  <c r="G103" i="1"/>
  <c r="G106" i="1"/>
  <c r="G101" i="1"/>
  <c r="G100" i="1"/>
  <c r="G104" i="1"/>
  <c r="G69" i="1"/>
  <c r="G84" i="1"/>
  <c r="G83" i="1"/>
  <c r="G87" i="1"/>
  <c r="G95" i="1"/>
  <c r="G109" i="1"/>
  <c r="G111" i="1"/>
  <c r="G113" i="1"/>
  <c r="G135" i="1"/>
  <c r="G131" i="1"/>
  <c r="G130" i="1"/>
  <c r="G209" i="1"/>
  <c r="G210" i="1"/>
  <c r="G177" i="1"/>
  <c r="G123" i="1"/>
  <c r="G122" i="1"/>
  <c r="G261" i="1"/>
  <c r="G262" i="1"/>
  <c r="G243" i="1"/>
  <c r="G142" i="1"/>
  <c r="G143" i="1"/>
  <c r="G150" i="1"/>
  <c r="G154" i="1"/>
  <c r="G198" i="1"/>
  <c r="G208" i="1"/>
  <c r="G192" i="1"/>
  <c r="G180" i="1"/>
  <c r="G257" i="1"/>
  <c r="G256" i="1"/>
  <c r="G255" i="1"/>
  <c r="G248" i="1"/>
  <c r="G251" i="1"/>
  <c r="G244" i="1"/>
  <c r="G245" i="1"/>
  <c r="G183" i="1"/>
  <c r="G231" i="1"/>
  <c r="G205" i="1"/>
  <c r="G240" i="1"/>
  <c r="G223" i="1"/>
  <c r="G228" i="1"/>
  <c r="G250" i="1"/>
  <c r="G249" i="1"/>
  <c r="G57" i="1"/>
  <c r="G136" i="1"/>
  <c r="G66" i="1"/>
  <c r="G77" i="1"/>
  <c r="G76" i="1"/>
  <c r="G199" i="1"/>
  <c r="G253" i="1"/>
  <c r="G252" i="1"/>
  <c r="G247" i="1"/>
  <c r="G246" i="1"/>
  <c r="G258" i="1"/>
  <c r="G67" i="1"/>
  <c r="G194" i="1"/>
  <c r="G193" i="1"/>
  <c r="G222" i="1"/>
  <c r="G220" i="1"/>
  <c r="G132" i="1"/>
  <c r="G141" i="1"/>
  <c r="G211" i="1"/>
  <c r="G207" i="1"/>
  <c r="G125" i="1"/>
  <c r="G124" i="1"/>
  <c r="G56" i="1"/>
  <c r="G138" i="1"/>
  <c r="G137" i="1"/>
  <c r="G151" i="1"/>
  <c r="G60" i="1"/>
  <c r="G191" i="1"/>
  <c r="G203" i="1"/>
  <c r="G155" i="1"/>
  <c r="G8" i="1"/>
  <c r="G158" i="1"/>
  <c r="G235" i="1"/>
  <c r="G234" i="1"/>
  <c r="G17" i="1"/>
  <c r="G15" i="1"/>
  <c r="G16" i="1"/>
  <c r="G46" i="1"/>
  <c r="G126" i="1"/>
  <c r="G127" i="1"/>
  <c r="G170" i="1" l="1"/>
  <c r="G133" i="1"/>
  <c r="G134" i="1"/>
  <c r="G163" i="1"/>
  <c r="G157" i="1"/>
  <c r="G114" i="1"/>
  <c r="G52" i="1"/>
  <c r="G160" i="1"/>
  <c r="G112" i="1"/>
  <c r="G153" i="1"/>
  <c r="G152" i="1"/>
  <c r="G184" i="1"/>
  <c r="G167" i="1"/>
  <c r="G64" i="1"/>
  <c r="G11" i="1"/>
  <c r="G254" i="1"/>
  <c r="G93" i="1"/>
  <c r="G72" i="1"/>
  <c r="G68" i="1"/>
  <c r="G73" i="1"/>
  <c r="G71" i="1"/>
  <c r="G65" i="1"/>
  <c r="G74" i="1"/>
  <c r="G7" i="1"/>
  <c r="G242" i="1"/>
  <c r="G241" i="1"/>
  <c r="G86" i="1"/>
  <c r="G85" i="1"/>
  <c r="G75" i="1"/>
  <c r="G91" i="1"/>
  <c r="G92" i="1"/>
  <c r="G219" i="1"/>
  <c r="G156" i="1"/>
  <c r="G162" i="1"/>
  <c r="G4" i="1"/>
  <c r="G6" i="1"/>
  <c r="G5" i="1"/>
  <c r="G236" i="1"/>
  <c r="G188" i="1"/>
  <c r="G181" i="1"/>
  <c r="G34" i="1"/>
  <c r="G159" i="1"/>
  <c r="G197" i="1"/>
  <c r="G149" i="1"/>
  <c r="G169" i="1"/>
  <c r="G190" i="1"/>
  <c r="G179" i="1"/>
  <c r="G187" i="1"/>
  <c r="G128" i="1"/>
  <c r="G200" i="1"/>
  <c r="G195" i="1"/>
  <c r="G129" i="1"/>
  <c r="G196" i="1"/>
  <c r="G166" i="1"/>
  <c r="G12" i="1"/>
  <c r="G13" i="1"/>
  <c r="G19" i="1"/>
  <c r="G14" i="1"/>
  <c r="G22" i="1"/>
  <c r="G18" i="1"/>
  <c r="G35" i="1"/>
  <c r="G148" i="1"/>
  <c r="G88" i="1"/>
  <c r="G78" i="1"/>
  <c r="G89" i="1"/>
  <c r="G286" i="1"/>
  <c r="G97" i="1"/>
  <c r="G98" i="1"/>
  <c r="G99" i="1"/>
  <c r="G201" i="1"/>
  <c r="G213" i="1"/>
  <c r="G139" i="1"/>
  <c r="G140" i="1"/>
  <c r="G289" i="1"/>
  <c r="G53" i="1"/>
  <c r="G55" i="1"/>
  <c r="G27" i="1"/>
  <c r="G25" i="1"/>
  <c r="G267" i="1"/>
  <c r="G268" i="1"/>
  <c r="G168" i="1"/>
  <c r="G185" i="1"/>
  <c r="G62" i="1"/>
  <c r="G182" i="1"/>
  <c r="G189" i="1"/>
  <c r="G206" i="1"/>
  <c r="G176" i="1"/>
  <c r="G171" i="1"/>
  <c r="G172" i="1"/>
  <c r="G173" i="1"/>
  <c r="G174" i="1"/>
  <c r="G175" i="1"/>
  <c r="G221" i="1"/>
  <c r="G224" i="1"/>
  <c r="G218" i="1"/>
  <c r="G212" i="1"/>
  <c r="G214" i="1"/>
  <c r="G215" i="1"/>
  <c r="G217" i="1"/>
  <c r="G216" i="1"/>
  <c r="G202" i="1"/>
  <c r="G63" i="1"/>
  <c r="G178" i="1"/>
  <c r="G288" i="1"/>
  <c r="G287" i="1"/>
  <c r="G259" i="1"/>
  <c r="G260" i="1"/>
  <c r="G284" i="1"/>
  <c r="G283" i="1"/>
  <c r="G285" i="1"/>
  <c r="G281" i="1"/>
  <c r="G272" i="1"/>
  <c r="G274" i="1"/>
  <c r="G273" i="1"/>
  <c r="G279" i="1"/>
  <c r="G278" i="1"/>
  <c r="G282" i="1"/>
  <c r="G275" i="1"/>
  <c r="G276" i="1"/>
  <c r="G271" i="1"/>
  <c r="G269" i="1"/>
  <c r="G290" i="1"/>
  <c r="G164" i="1"/>
  <c r="G232" i="1"/>
  <c r="G239" i="1"/>
  <c r="G161" i="1"/>
  <c r="G233" i="1"/>
  <c r="G120" i="1"/>
  <c r="G229" i="1"/>
  <c r="G225" i="1"/>
  <c r="G226" i="1"/>
  <c r="G119" i="1"/>
  <c r="G227" i="1"/>
  <c r="G121" i="1"/>
  <c r="G9" i="1"/>
  <c r="G115" i="1"/>
  <c r="G116" i="1"/>
  <c r="G117" i="1"/>
  <c r="G118" i="1"/>
  <c r="G237" i="1"/>
  <c r="G58" i="1"/>
  <c r="G10" i="1"/>
  <c r="G20" i="1"/>
  <c r="G37" i="1"/>
  <c r="G38" i="1"/>
  <c r="G29" i="1"/>
  <c r="G30" i="1"/>
  <c r="G31" i="1"/>
  <c r="G23" i="1"/>
  <c r="G24" i="1"/>
  <c r="G26" i="1"/>
  <c r="G32" i="1"/>
  <c r="G33" i="1"/>
  <c r="G36" i="1"/>
  <c r="G51" i="1"/>
  <c r="G39" i="1"/>
  <c r="G44" i="1"/>
  <c r="G45" i="1"/>
  <c r="G50" i="1"/>
  <c r="G47" i="1"/>
  <c r="G49" i="1"/>
  <c r="G42" i="1"/>
  <c r="G43" i="1"/>
  <c r="G41" i="1"/>
  <c r="G40" i="1"/>
  <c r="G61" i="1"/>
  <c r="G59" i="1"/>
</calcChain>
</file>

<file path=xl/sharedStrings.xml><?xml version="1.0" encoding="utf-8"?>
<sst xmlns="http://schemas.openxmlformats.org/spreadsheetml/2006/main" count="1201" uniqueCount="568">
  <si>
    <t>Marque</t>
  </si>
  <si>
    <t>Ref</t>
  </si>
  <si>
    <t>Désignation</t>
  </si>
  <si>
    <t>Qte stock</t>
  </si>
  <si>
    <t>Qte mini</t>
  </si>
  <si>
    <t>Qte à Cmd</t>
  </si>
  <si>
    <t>Banner</t>
  </si>
  <si>
    <t>842-2798</t>
  </si>
  <si>
    <t>Led 3 couleurs 10-30V</t>
  </si>
  <si>
    <t>RS Pro</t>
  </si>
  <si>
    <t>488-191</t>
  </si>
  <si>
    <t>PC chassis 250V 10A</t>
  </si>
  <si>
    <t>K30LGRYPQ</t>
  </si>
  <si>
    <t>Verine</t>
  </si>
  <si>
    <t>Baumer</t>
  </si>
  <si>
    <t>MIL10-S2.LE.0005P</t>
  </si>
  <si>
    <t>Codeur Incrémental</t>
  </si>
  <si>
    <t>Beckhoff</t>
  </si>
  <si>
    <t>ZK7000-0101-0001</t>
  </si>
  <si>
    <t>Câble EtherCat M8 0,15M</t>
  </si>
  <si>
    <t>ZK7000-0100-0250</t>
  </si>
  <si>
    <t>Câble EtherCat M8 25M</t>
  </si>
  <si>
    <t>KL9010</t>
  </si>
  <si>
    <t>Terminal de fin</t>
  </si>
  <si>
    <t>EPP6001</t>
  </si>
  <si>
    <t>EtherCat 1 entrée serial</t>
  </si>
  <si>
    <t>EPP3752</t>
  </si>
  <si>
    <t>EtherCat 2 entrées 3 axes</t>
  </si>
  <si>
    <t>EPP3314</t>
  </si>
  <si>
    <t>EtherCat 4 entrées</t>
  </si>
  <si>
    <t>EPP3184</t>
  </si>
  <si>
    <t>EPP1008</t>
  </si>
  <si>
    <t>EtherCat 8 entrées</t>
  </si>
  <si>
    <t>EP5101</t>
  </si>
  <si>
    <t>EtherCat 1 entrée encoder</t>
  </si>
  <si>
    <t>EL5101</t>
  </si>
  <si>
    <t>Terminal Codeur Incrémental</t>
  </si>
  <si>
    <t>EP3356</t>
  </si>
  <si>
    <t>EP2008</t>
  </si>
  <si>
    <t>EtherCat 8 sorties</t>
  </si>
  <si>
    <t>EP1008</t>
  </si>
  <si>
    <t>EL9011</t>
  </si>
  <si>
    <t>Bus de fin</t>
  </si>
  <si>
    <t>EL6692</t>
  </si>
  <si>
    <t>EtherCat Terminal</t>
  </si>
  <si>
    <t>EL6652</t>
  </si>
  <si>
    <t>EL6070</t>
  </si>
  <si>
    <t>Terminal license key</t>
  </si>
  <si>
    <t>El6021</t>
  </si>
  <si>
    <t>Terminal RS 485</t>
  </si>
  <si>
    <t>EL3312</t>
  </si>
  <si>
    <t>Terminal 2 entrées</t>
  </si>
  <si>
    <t>EL3311</t>
  </si>
  <si>
    <t>Terminal 1 entrée</t>
  </si>
  <si>
    <t>EL3172</t>
  </si>
  <si>
    <t>EL3022</t>
  </si>
  <si>
    <t>EL3021</t>
  </si>
  <si>
    <t>EL2904</t>
  </si>
  <si>
    <t>EtherCat 4 sorties</t>
  </si>
  <si>
    <t>EL2809</t>
  </si>
  <si>
    <t>Terminal 16 sorties</t>
  </si>
  <si>
    <t>EL1918</t>
  </si>
  <si>
    <t>EL1809</t>
  </si>
  <si>
    <t>Terminal 16 entrées</t>
  </si>
  <si>
    <t>EL1502</t>
  </si>
  <si>
    <t>EK1310</t>
  </si>
  <si>
    <t>Ethercap P</t>
  </si>
  <si>
    <t>EK1100</t>
  </si>
  <si>
    <t>EtherCat coupleur</t>
  </si>
  <si>
    <t>CU8803-0000</t>
  </si>
  <si>
    <t>CPLink Extender</t>
  </si>
  <si>
    <t>IHM</t>
  </si>
  <si>
    <t>C9900-K667</t>
  </si>
  <si>
    <t>CPLINK 4 Cable 3 m</t>
  </si>
  <si>
    <t>C9900-K653</t>
  </si>
  <si>
    <t>CPLINK 4 Cable 10m</t>
  </si>
  <si>
    <t>C6017-0030</t>
  </si>
  <si>
    <t>IPC</t>
  </si>
  <si>
    <t>C6017-0020</t>
  </si>
  <si>
    <t>C6015-0020</t>
  </si>
  <si>
    <t>Crouzet</t>
  </si>
  <si>
    <t>CB8R</t>
  </si>
  <si>
    <t>Controleur</t>
  </si>
  <si>
    <t>Rexel</t>
  </si>
  <si>
    <t>Delta Resistances</t>
  </si>
  <si>
    <t>FR2-136-1.5NU</t>
  </si>
  <si>
    <t>Résistance de freinage 136A</t>
  </si>
  <si>
    <t>Delta Resistance</t>
  </si>
  <si>
    <t>D-Link</t>
  </si>
  <si>
    <t>DWA-172</t>
  </si>
  <si>
    <t>USB Wireless</t>
  </si>
  <si>
    <t>EATON</t>
  </si>
  <si>
    <t>EONP3-100</t>
  </si>
  <si>
    <t>Sectionneur 3P+N 100A</t>
  </si>
  <si>
    <t>Finder</t>
  </si>
  <si>
    <t>34.81.7.024.9024</t>
  </si>
  <si>
    <t>Relais statique</t>
  </si>
  <si>
    <t>Harting</t>
  </si>
  <si>
    <t>Port USB</t>
  </si>
  <si>
    <t>09670008570</t>
  </si>
  <si>
    <t>D SUB Mâle</t>
  </si>
  <si>
    <t>Electro Ouest</t>
  </si>
  <si>
    <t>09670008470</t>
  </si>
  <si>
    <t>D SUB Femelle</t>
  </si>
  <si>
    <t>09140020311</t>
  </si>
  <si>
    <t>Han 2 Mod carrier</t>
  </si>
  <si>
    <t>09140020301</t>
  </si>
  <si>
    <t>Han 2Mod Housing</t>
  </si>
  <si>
    <t>09140253001</t>
  </si>
  <si>
    <t>09140253101</t>
  </si>
  <si>
    <t>09140033501</t>
  </si>
  <si>
    <t>09140006356</t>
  </si>
  <si>
    <t>09140014721</t>
  </si>
  <si>
    <t>RJ45 module changeur de genre</t>
  </si>
  <si>
    <t>09140014623</t>
  </si>
  <si>
    <t>19140020402</t>
  </si>
  <si>
    <t>Capot</t>
  </si>
  <si>
    <t>09140009966</t>
  </si>
  <si>
    <t>Hoffman</t>
  </si>
  <si>
    <t>MAS0403021R5</t>
  </si>
  <si>
    <t>Coffret 400X300X210</t>
  </si>
  <si>
    <t>MAS0504021R5</t>
  </si>
  <si>
    <t>Coffret 500X400X210</t>
  </si>
  <si>
    <t>MAS0606021R5</t>
  </si>
  <si>
    <t>Coffret 600X600X210</t>
  </si>
  <si>
    <t>IFM</t>
  </si>
  <si>
    <t>UGT525</t>
  </si>
  <si>
    <t>Capteur ultrason</t>
  </si>
  <si>
    <t>SV4204</t>
  </si>
  <si>
    <t>Débimètre</t>
  </si>
  <si>
    <t>OJ5148</t>
  </si>
  <si>
    <t>Détecteur optoelectrique</t>
  </si>
  <si>
    <t>MX5015</t>
  </si>
  <si>
    <t>Capteur de vitesse</t>
  </si>
  <si>
    <t>M9H203</t>
  </si>
  <si>
    <t>Détecteur de position</t>
  </si>
  <si>
    <t>IES217</t>
  </si>
  <si>
    <t>Détecteur inductif M8 30mm</t>
  </si>
  <si>
    <t>IEC211</t>
  </si>
  <si>
    <t>Détecteur inductif M8 45mm</t>
  </si>
  <si>
    <t>Legrand</t>
  </si>
  <si>
    <t>050445</t>
  </si>
  <si>
    <t>Prise 2P+T</t>
  </si>
  <si>
    <t>Mean Well</t>
  </si>
  <si>
    <t>SDR-120-24</t>
  </si>
  <si>
    <t>Alimentation 220V-24V 5A</t>
  </si>
  <si>
    <t>MTS</t>
  </si>
  <si>
    <t>M10C 528VQ M02/N SC</t>
  </si>
  <si>
    <t>Capteur incrémental</t>
  </si>
  <si>
    <t>Axom</t>
  </si>
  <si>
    <t>nVent</t>
  </si>
  <si>
    <t>Distributeur 4P 80/100A</t>
  </si>
  <si>
    <t>Phoenix Contact</t>
  </si>
  <si>
    <t>Connecteur Mâle M8 4P coudé 90°</t>
  </si>
  <si>
    <t>Connecteur Femelle M8 4P coudé 90°</t>
  </si>
  <si>
    <t>Rital</t>
  </si>
  <si>
    <t>1060.000</t>
  </si>
  <si>
    <t>1045.000</t>
  </si>
  <si>
    <t>Coffret 400X500X210</t>
  </si>
  <si>
    <t>Câble  cat6 0,5m rj45</t>
  </si>
  <si>
    <t>877-1848</t>
  </si>
  <si>
    <t>Buzzer</t>
  </si>
  <si>
    <t>621-2271</t>
  </si>
  <si>
    <t>Thermocouple</t>
  </si>
  <si>
    <t>182-8784</t>
  </si>
  <si>
    <t>Câble DP-DVI 1M</t>
  </si>
  <si>
    <t>ARU PR News</t>
  </si>
  <si>
    <t>Schneider</t>
  </si>
  <si>
    <t>ZBE1025</t>
  </si>
  <si>
    <t>Contact NC</t>
  </si>
  <si>
    <t>ZBE1015</t>
  </si>
  <si>
    <t>Contact NO</t>
  </si>
  <si>
    <t>ZB4BZ009</t>
  </si>
  <si>
    <t>Embase</t>
  </si>
  <si>
    <t>ZB4BS844</t>
  </si>
  <si>
    <t>Tête bouton arrêt urgence</t>
  </si>
  <si>
    <t>ZB4BD2</t>
  </si>
  <si>
    <t>Tête bouton tournant</t>
  </si>
  <si>
    <t>ZB4BA6</t>
  </si>
  <si>
    <t>Tête bouton poussoir Bleu</t>
  </si>
  <si>
    <t>XB5AV5B1</t>
  </si>
  <si>
    <t>Voyant 400V</t>
  </si>
  <si>
    <t>ZB5AV013</t>
  </si>
  <si>
    <t>Tête voyant 400V</t>
  </si>
  <si>
    <t>XB4BVB1</t>
  </si>
  <si>
    <t>Voyant 24V</t>
  </si>
  <si>
    <t>NSYCAG92LPF</t>
  </si>
  <si>
    <t>NSYCVF54M230MM2</t>
  </si>
  <si>
    <t>Ventilateur 54M3</t>
  </si>
  <si>
    <t>NSYCVF170M230</t>
  </si>
  <si>
    <t>Ventilateur 170M3</t>
  </si>
  <si>
    <t>VW3A3601</t>
  </si>
  <si>
    <t>VCF0</t>
  </si>
  <si>
    <t>Sectionneur 3P 25A</t>
  </si>
  <si>
    <t>Relais tempo</t>
  </si>
  <si>
    <t>RE17RCMU</t>
  </si>
  <si>
    <t>LP1K0910BD</t>
  </si>
  <si>
    <t>Relais</t>
  </si>
  <si>
    <t>LC1D18BD</t>
  </si>
  <si>
    <t>Contacteur 3P</t>
  </si>
  <si>
    <t>GV3P40</t>
  </si>
  <si>
    <t>Disjoncteur MT 30A-40A</t>
  </si>
  <si>
    <t>ABLP1A24045</t>
  </si>
  <si>
    <t>Alimentation 220V-24V 4.5A</t>
  </si>
  <si>
    <t>A9Y62625</t>
  </si>
  <si>
    <t>Différentiel 25A - 30MA</t>
  </si>
  <si>
    <t>A9P22620</t>
  </si>
  <si>
    <t>Disjoncteur 20A</t>
  </si>
  <si>
    <t>A9P22616</t>
  </si>
  <si>
    <t>Disjoncteur 16A</t>
  </si>
  <si>
    <t>A9P22610</t>
  </si>
  <si>
    <t>Disjoncteur 10A</t>
  </si>
  <si>
    <t>A9P22604</t>
  </si>
  <si>
    <t>Disjoncteur 4A</t>
  </si>
  <si>
    <t>A9P22602</t>
  </si>
  <si>
    <t>Disjoncteur 2A</t>
  </si>
  <si>
    <t>A9F74302</t>
  </si>
  <si>
    <t>Disjoncteur 3P 2A</t>
  </si>
  <si>
    <t>A9A15306</t>
  </si>
  <si>
    <t>PC 16A 2P+T</t>
  </si>
  <si>
    <t>NSYCCOTHO</t>
  </si>
  <si>
    <t>Thermostat à fermeture C</t>
  </si>
  <si>
    <t>A9P22601</t>
  </si>
  <si>
    <t>BMH1002T27F2A</t>
  </si>
  <si>
    <t>Moteur 100MM IEC 6,2 NM</t>
  </si>
  <si>
    <t>BSH0553T12A2A</t>
  </si>
  <si>
    <t>Moteur BSH IEC 55MM 1,3N</t>
  </si>
  <si>
    <t>LXM32MD30M2</t>
  </si>
  <si>
    <t>LXM32 MODULAR 30A</t>
  </si>
  <si>
    <t>LGY112510</t>
  </si>
  <si>
    <t>Répartiteur</t>
  </si>
  <si>
    <t>A9F74301</t>
  </si>
  <si>
    <t>Disjoncteur 3P - 1A</t>
  </si>
  <si>
    <t>R9PRC225</t>
  </si>
  <si>
    <t>Interrupteur différentiel 2P 30mA 25A</t>
  </si>
  <si>
    <t>XB4BVM1</t>
  </si>
  <si>
    <t>Voyant lumineux blanc 220V</t>
  </si>
  <si>
    <t>Sick</t>
  </si>
  <si>
    <t>WL12-3P1151</t>
  </si>
  <si>
    <t>Capteur photoélectrique</t>
  </si>
  <si>
    <t>UM18-212166101</t>
  </si>
  <si>
    <t>Capteur de distance</t>
  </si>
  <si>
    <t>PL40A</t>
  </si>
  <si>
    <t>Réflecteur</t>
  </si>
  <si>
    <t>P250F</t>
  </si>
  <si>
    <t>Siemens</t>
  </si>
  <si>
    <t>LXM28EU02M3X</t>
  </si>
  <si>
    <t>Variateur Ethercat</t>
  </si>
  <si>
    <t>3SK1111-1AB30</t>
  </si>
  <si>
    <t>SMC</t>
  </si>
  <si>
    <t>ZS-46-B</t>
  </si>
  <si>
    <t>Adaptateur façade pressostat</t>
  </si>
  <si>
    <t>VX210AGA</t>
  </si>
  <si>
    <t>Electrovanne</t>
  </si>
  <si>
    <t>PF3W740-F06-FT-M</t>
  </si>
  <si>
    <t>SY7120-5LOU-C10F-Q</t>
  </si>
  <si>
    <t>Distributeur 5/2 Mono</t>
  </si>
  <si>
    <t>ISE20-P-01-L</t>
  </si>
  <si>
    <t>Pressostat digital</t>
  </si>
  <si>
    <t>Telegärtner</t>
  </si>
  <si>
    <t>Prise RJ45 à 90°</t>
  </si>
  <si>
    <t>Prise RJ45 droite avec presse étoupe</t>
  </si>
  <si>
    <t>Unimet</t>
  </si>
  <si>
    <t>Wago</t>
  </si>
  <si>
    <t>879-3020</t>
  </si>
  <si>
    <t>Compteur d'énergie 3P</t>
  </si>
  <si>
    <t>787-3664</t>
  </si>
  <si>
    <t>disjoncteur electronique</t>
  </si>
  <si>
    <t>787-1662</t>
  </si>
  <si>
    <t>758-919</t>
  </si>
  <si>
    <t>Point acess Wifi</t>
  </si>
  <si>
    <t>751-9301</t>
  </si>
  <si>
    <t>Controleur 100</t>
  </si>
  <si>
    <t>750-8212</t>
  </si>
  <si>
    <t>Controleur PFC200</t>
  </si>
  <si>
    <t>750-8001</t>
  </si>
  <si>
    <t>Basic Controleur 100</t>
  </si>
  <si>
    <t>750-638</t>
  </si>
  <si>
    <t>Compteur Aller/Retour</t>
  </si>
  <si>
    <t>750-631</t>
  </si>
  <si>
    <t>Codeur incrémental</t>
  </si>
  <si>
    <t>750-600</t>
  </si>
  <si>
    <t>Module d'extrémité</t>
  </si>
  <si>
    <t>750-469</t>
  </si>
  <si>
    <t>Entrée Analogique 2 canaux</t>
  </si>
  <si>
    <t>750-468</t>
  </si>
  <si>
    <t>Entrée Analogique 4 canaux</t>
  </si>
  <si>
    <t>750-466</t>
  </si>
  <si>
    <t>750-354</t>
  </si>
  <si>
    <t>FC Ethercat</t>
  </si>
  <si>
    <t>Sortie digitale 16 cannaux</t>
  </si>
  <si>
    <t>750-1405</t>
  </si>
  <si>
    <t>Entrée digitale 16 canaux</t>
  </si>
  <si>
    <t>2787-2146</t>
  </si>
  <si>
    <t>Alimentation 220V-24V 10A</t>
  </si>
  <si>
    <t>2787-2144</t>
  </si>
  <si>
    <t>2206-8034</t>
  </si>
  <si>
    <t>Borne distribution bleu</t>
  </si>
  <si>
    <t>2206-8033</t>
  </si>
  <si>
    <t>Borne distribution rouge</t>
  </si>
  <si>
    <t>2042-7204</t>
  </si>
  <si>
    <t>Relais électronique 10KHz</t>
  </si>
  <si>
    <t>Weidmüller</t>
  </si>
  <si>
    <t xml:space="preserve">switch </t>
  </si>
  <si>
    <t>Werma</t>
  </si>
  <si>
    <t>240 220 55</t>
  </si>
  <si>
    <t>Conrad</t>
  </si>
  <si>
    <t>Prolians</t>
  </si>
  <si>
    <t>Goulotte*15</t>
  </si>
  <si>
    <t>4M</t>
  </si>
  <si>
    <t>Fils Violet</t>
  </si>
  <si>
    <t>100M</t>
  </si>
  <si>
    <t>Disjoncteur électronique</t>
  </si>
  <si>
    <t>Flintec</t>
  </si>
  <si>
    <t>SB14-10klb-Cm GP</t>
  </si>
  <si>
    <t>Capteur D'éffort SFR</t>
  </si>
  <si>
    <t>Contacteur 3P bobine 24V</t>
  </si>
  <si>
    <t>LED Armoire 220V</t>
  </si>
  <si>
    <t>2500.210</t>
  </si>
  <si>
    <t>2500.420</t>
  </si>
  <si>
    <t>EVC003</t>
  </si>
  <si>
    <t>EVC108</t>
  </si>
  <si>
    <t>câble male femelle M12</t>
  </si>
  <si>
    <t>411-312</t>
  </si>
  <si>
    <t>cable RJ45 10m</t>
  </si>
  <si>
    <t>ZB9032</t>
  </si>
  <si>
    <t>cable Ethernet/EtherCAT</t>
  </si>
  <si>
    <t>EVCA51</t>
  </si>
  <si>
    <t>cable male femelle m8 4 contact</t>
  </si>
  <si>
    <t>197-2925</t>
  </si>
  <si>
    <t>cable male femelle m8 3 contact 5M</t>
  </si>
  <si>
    <t>877-1104</t>
  </si>
  <si>
    <t>cable male femelle  5M</t>
  </si>
  <si>
    <t>disjoncteur 1A</t>
  </si>
  <si>
    <t>XZCC8MDM30V</t>
  </si>
  <si>
    <t>RSL1AB4BD</t>
  </si>
  <si>
    <t>251-3217</t>
  </si>
  <si>
    <t>Connecteur mâle circulaire M8 3 contacts</t>
  </si>
  <si>
    <t>Relais de puissance embrochable 24V</t>
  </si>
  <si>
    <t>Câble USB RS PRO USB A vers USB A</t>
  </si>
  <si>
    <t>Icotek Cadre passe-câble</t>
  </si>
  <si>
    <t>CP3916-0010</t>
  </si>
  <si>
    <t>MillMax</t>
  </si>
  <si>
    <t>869-10-004-00-012000</t>
  </si>
  <si>
    <t>a sortir du stock</t>
  </si>
  <si>
    <t>Rittal</t>
  </si>
  <si>
    <t>Telemecanique</t>
  </si>
  <si>
    <t>Lapp</t>
  </si>
  <si>
    <t>Icoteck</t>
  </si>
  <si>
    <t>Mill-Max</t>
  </si>
  <si>
    <t>Contact MT femelle</t>
  </si>
  <si>
    <t>Mouser</t>
  </si>
  <si>
    <t>869-10-004-00-011101</t>
  </si>
  <si>
    <t>Contact MT mâle</t>
  </si>
  <si>
    <t>EPP3204</t>
  </si>
  <si>
    <t>EtherCat 4 RTD (Pt100)</t>
  </si>
  <si>
    <t>C9900-P944</t>
  </si>
  <si>
    <t>Connecteur CU8803</t>
  </si>
  <si>
    <t>C9900-P943</t>
  </si>
  <si>
    <t>Connecteur IPC</t>
  </si>
  <si>
    <t>CP2916-0010</t>
  </si>
  <si>
    <t>Phase Motion</t>
  </si>
  <si>
    <t>Hirshman</t>
  </si>
  <si>
    <t>AxN 110</t>
  </si>
  <si>
    <t>Variateur SFR</t>
  </si>
  <si>
    <t>SY31205LOU-C4-Q</t>
  </si>
  <si>
    <t>Distribiuteur</t>
  </si>
  <si>
    <t>SY51205LOU-C8F-Q</t>
  </si>
  <si>
    <t>K50L2RGB7ALSQ</t>
  </si>
  <si>
    <t>Inter à Bascule</t>
  </si>
  <si>
    <t>5840.600</t>
  </si>
  <si>
    <t>Coffret 1800X1000X400</t>
  </si>
  <si>
    <t>VW3M5101R100</t>
  </si>
  <si>
    <t>Câble Moteur BSH 1,52 10M</t>
  </si>
  <si>
    <t>VW3M8102R100</t>
  </si>
  <si>
    <t>LXM32MU90M2</t>
  </si>
  <si>
    <t>LXM32 MODULAR 9A</t>
  </si>
  <si>
    <t>DF-Electric</t>
  </si>
  <si>
    <t>PC Mâle 2P+T</t>
  </si>
  <si>
    <t>Réception</t>
  </si>
  <si>
    <t>EPP3356</t>
  </si>
  <si>
    <t>EtherCat 1 entrée analog</t>
  </si>
  <si>
    <t>2500.100</t>
  </si>
  <si>
    <t>ZS2000-2640</t>
  </si>
  <si>
    <t>Connecteur M12 4P 90°</t>
  </si>
  <si>
    <t>Module HD 25 Pts Male</t>
  </si>
  <si>
    <t>Module HD 25 Pts femelle</t>
  </si>
  <si>
    <t>Connecteur femelle M12 4P droit</t>
  </si>
  <si>
    <t>Connecteur femelle M12 4P 90°</t>
  </si>
  <si>
    <t>Connecteur femelle M12 5P 90°</t>
  </si>
  <si>
    <t>286-3222</t>
  </si>
  <si>
    <t>MH Connector</t>
  </si>
  <si>
    <t>CDTZK15K</t>
  </si>
  <si>
    <t>SUB D capot 15 pts metal</t>
  </si>
  <si>
    <t>CMHF15P0G2</t>
  </si>
  <si>
    <t>SUB D male 15 pts à souder</t>
  </si>
  <si>
    <t>VCF3</t>
  </si>
  <si>
    <t>Sectionneur 3P 63A</t>
  </si>
  <si>
    <t>TeSys Vario - pôle neutre - 40A - pour V02 à V2</t>
  </si>
  <si>
    <t>VZ11</t>
  </si>
  <si>
    <t>09140006456</t>
  </si>
  <si>
    <t xml:space="preserve"> Connecteur femelle M12 5P droit</t>
  </si>
  <si>
    <t>Connecteur femelle M12 5P 90° (plastique)</t>
  </si>
  <si>
    <t>Connecteur Mâle M8 3P coudé 90°</t>
  </si>
  <si>
    <t>ZBE101</t>
  </si>
  <si>
    <t>ZBE102</t>
  </si>
  <si>
    <t>NSYCAF170X190X</t>
  </si>
  <si>
    <t>filtre à insecte 170x190</t>
  </si>
  <si>
    <t>NSYCAG170X190LM</t>
  </si>
  <si>
    <t>grille sortie découpe 170x190</t>
  </si>
  <si>
    <t>09140006466</t>
  </si>
  <si>
    <t>2206-8031</t>
  </si>
  <si>
    <t>Borne distribution gris</t>
  </si>
  <si>
    <t>2020-1201</t>
  </si>
  <si>
    <t>2020-1204</t>
  </si>
  <si>
    <t>2020-181</t>
  </si>
  <si>
    <t>2020-184</t>
  </si>
  <si>
    <t>Gille sortie découpe 92X92</t>
  </si>
  <si>
    <t>Electro-Ouest</t>
  </si>
  <si>
    <t>NSYCVF38M230PF</t>
  </si>
  <si>
    <t>Ventilateur 38M3 220V 92X92</t>
  </si>
  <si>
    <t>750-1506</t>
  </si>
  <si>
    <t>750-653</t>
  </si>
  <si>
    <t>Pneumatic module 3 contacts 6mm</t>
  </si>
  <si>
    <t>09140023501</t>
  </si>
  <si>
    <t>Pneumatic module 2 contacts 8mm Male</t>
  </si>
  <si>
    <t>09140023502</t>
  </si>
  <si>
    <t>Pneumatic module 2 contacts 8mm Femelle</t>
  </si>
  <si>
    <t>09140006358</t>
  </si>
  <si>
    <t>Pneumatic contact female 6mm</t>
  </si>
  <si>
    <t>Pneumatic contact female 8mm</t>
  </si>
  <si>
    <t>690-6945</t>
  </si>
  <si>
    <t>Pneumatic contact female 6mm clapet</t>
  </si>
  <si>
    <t>Fournisseurs</t>
  </si>
  <si>
    <t>Connecteur femelle gris 1 conducteur</t>
  </si>
  <si>
    <t>Connecteur femelle bleue 1 conducteur</t>
  </si>
  <si>
    <t>Borne male bleue 1 conducteur 1 broche</t>
  </si>
  <si>
    <t>Borne male gris 1 conducteur 1 broche</t>
  </si>
  <si>
    <t>Carte RS-485 9600 Bs</t>
  </si>
  <si>
    <t>PMA</t>
  </si>
  <si>
    <t>BVNV-M329</t>
  </si>
  <si>
    <t>BVNV-M508</t>
  </si>
  <si>
    <t>M329+ecrou pour gaine  29mm</t>
  </si>
  <si>
    <t>M508+ecrou pour gaine de 48mm</t>
  </si>
  <si>
    <t>Connecteur Mâle M12 5P coudé 90°</t>
  </si>
  <si>
    <t>Conec</t>
  </si>
  <si>
    <t>43-00333</t>
  </si>
  <si>
    <t>Connecteur Femmelle M12 droit 4P</t>
  </si>
  <si>
    <t>2020-161</t>
  </si>
  <si>
    <t>connecteur femelle start mod gris</t>
  </si>
  <si>
    <t>2020-164</t>
  </si>
  <si>
    <t>connecteur femelle start mod bleu</t>
  </si>
  <si>
    <t>Capteurs photoélectriques</t>
  </si>
  <si>
    <t>Prise RJ45 droite sans presse étoupe</t>
  </si>
  <si>
    <t>RSLZRA1</t>
  </si>
  <si>
    <t>Support relais 24V</t>
  </si>
  <si>
    <t>relais sécurité 24V</t>
  </si>
  <si>
    <t>disjoncteur thermique 690v 40A 3P</t>
  </si>
  <si>
    <t>2002-1961</t>
  </si>
  <si>
    <t>borne Relais électronique 10KHz</t>
  </si>
  <si>
    <t>2000-1301</t>
  </si>
  <si>
    <t>borne grise</t>
  </si>
  <si>
    <t>2020-167</t>
  </si>
  <si>
    <t>connecteur femelle start mod terre</t>
  </si>
  <si>
    <t>2020-1207</t>
  </si>
  <si>
    <t>Borne male terre 1 conducteur 1 broche</t>
  </si>
  <si>
    <t>249-117</t>
  </si>
  <si>
    <t>249-119</t>
  </si>
  <si>
    <t>2102-1307</t>
  </si>
  <si>
    <t>2102-1301</t>
  </si>
  <si>
    <t>2102-1304</t>
  </si>
  <si>
    <t>Alimentation 220v-24v 5,0A</t>
  </si>
  <si>
    <t>Moteur Lexium BSH</t>
  </si>
  <si>
    <t>Variateur Lexium 32</t>
  </si>
  <si>
    <t>EtherCat variateur Lexium 32</t>
  </si>
  <si>
    <t>Alimentation 220-24V 4.0A</t>
  </si>
  <si>
    <t>Câble encodeur 10M</t>
  </si>
  <si>
    <t>Butée d'arrêt</t>
  </si>
  <si>
    <t>Porte étiquettes</t>
  </si>
  <si>
    <t>Connecteur, 3-pôles, connecteur mâle coudé M8</t>
  </si>
  <si>
    <t>Connecteur mâle M12 5P droit</t>
  </si>
  <si>
    <t>EVC835</t>
  </si>
  <si>
    <t>Câble male M12</t>
  </si>
  <si>
    <t>19300160447</t>
  </si>
  <si>
    <t>Han 16 B Hood Top Entry M32</t>
  </si>
  <si>
    <t>09300160307</t>
  </si>
  <si>
    <t>Embase à verrou</t>
  </si>
  <si>
    <t>09140160361</t>
  </si>
  <si>
    <t>Han hinged frame plus, for 4 modules A-D</t>
  </si>
  <si>
    <t>09140160371</t>
  </si>
  <si>
    <t>Han hinged frame plus, for 4 modules a-d</t>
  </si>
  <si>
    <t>Adapter Han RJ45 module/RJ45 patch cable</t>
  </si>
  <si>
    <t>09140006468</t>
  </si>
  <si>
    <t>Pneum.contact metal OD 8mm,female+valve</t>
  </si>
  <si>
    <t>Passe fils D8</t>
  </si>
  <si>
    <t>Passe fils D3</t>
  </si>
  <si>
    <t>Passe fils D4</t>
  </si>
  <si>
    <t>Passe fils D12</t>
  </si>
  <si>
    <t>Passe fils D7</t>
  </si>
  <si>
    <t>Passe fils D5</t>
  </si>
  <si>
    <t>Passe fils D11</t>
  </si>
  <si>
    <t>Bouchon</t>
  </si>
  <si>
    <t>Icotek Cadre passe-câble balais</t>
  </si>
  <si>
    <t>En Commande</t>
  </si>
  <si>
    <t>750-630</t>
  </si>
  <si>
    <t xml:space="preserve">Interface SSI codeur absolu </t>
  </si>
  <si>
    <t>750-1504</t>
  </si>
  <si>
    <t>EL2912</t>
  </si>
  <si>
    <t>EtherCat Terminal 2 channel TwinSAFE</t>
  </si>
  <si>
    <t>EtherCat 8 entrées TwinSAFE</t>
  </si>
  <si>
    <t>Pneumatic contact male 6mm</t>
  </si>
  <si>
    <t>2587-2144</t>
  </si>
  <si>
    <t>Alim 24V 5A</t>
  </si>
  <si>
    <t>Alim 24V 10A</t>
  </si>
  <si>
    <t>2587-2146</t>
  </si>
  <si>
    <t>RJ45 module femelle</t>
  </si>
  <si>
    <t>Port RJ45 male</t>
  </si>
  <si>
    <t>DEM0521SR</t>
  </si>
  <si>
    <t>EK1122</t>
  </si>
  <si>
    <t>Ethercat Jonction</t>
  </si>
  <si>
    <t>1 prêt antho</t>
  </si>
  <si>
    <t>Alim LED 2 Pôles (cable 2x1,5mm2)</t>
  </si>
  <si>
    <t>Prélévé du stock et utilisé pour des essais</t>
  </si>
  <si>
    <t>RSL1PRBU</t>
  </si>
  <si>
    <t>Relais 24V</t>
  </si>
  <si>
    <t>09140100371</t>
  </si>
  <si>
    <t xml:space="preserve">Han hinged frame plus, for 3 modules </t>
  </si>
  <si>
    <t>09140009950</t>
  </si>
  <si>
    <t>Bouchon Hand modular</t>
  </si>
  <si>
    <t>09140100361</t>
  </si>
  <si>
    <t>Han hinged frame plus for 3 modules</t>
  </si>
  <si>
    <t>Rubix</t>
  </si>
  <si>
    <t>09454521902</t>
  </si>
  <si>
    <t>09454521560</t>
  </si>
  <si>
    <t>09140125001</t>
  </si>
  <si>
    <t>Han DD Push mâle</t>
  </si>
  <si>
    <t>09140125101</t>
  </si>
  <si>
    <t>Han DD Push femelle</t>
  </si>
  <si>
    <t>09628160301</t>
  </si>
  <si>
    <t>EMBASE ENCASTREE CEM 16B</t>
  </si>
  <si>
    <t>19628160428</t>
  </si>
  <si>
    <t>Han 16EMC/B-HTE-M40 (HT)</t>
  </si>
  <si>
    <t>19300100465</t>
  </si>
  <si>
    <t>Han 10B-gg2-M20</t>
  </si>
  <si>
    <t>108125160</t>
  </si>
  <si>
    <t>AGRO</t>
  </si>
  <si>
    <t>Presse étoupe Diam 24 mm</t>
  </si>
  <si>
    <t>108132210</t>
  </si>
  <si>
    <t>presse étoupe Diam 32 mm</t>
  </si>
  <si>
    <t>EVC001</t>
  </si>
  <si>
    <t>câble femelle 4 brins, M12 en 2M</t>
  </si>
  <si>
    <t>câble femelle 4 brins, M12 en 10M</t>
  </si>
  <si>
    <t>KITPUPITRE</t>
  </si>
  <si>
    <t>Kit gaine IHM 10M</t>
  </si>
  <si>
    <t>KITARMOIREPR</t>
  </si>
  <si>
    <t>Kit gaine Tête PR 10M</t>
  </si>
  <si>
    <t>KITARMOIREV4</t>
  </si>
  <si>
    <t>Kit gaine Tête V4 10M</t>
  </si>
  <si>
    <t>KITOPTIONDEPOSETETE</t>
  </si>
  <si>
    <t>Kit gaine Pose Dépose 10M</t>
  </si>
  <si>
    <t>LC1D65P7</t>
  </si>
  <si>
    <t>Contacteur 3P 65A bobine 230V</t>
  </si>
  <si>
    <t>3RV2041-4JA10</t>
  </si>
  <si>
    <t>Disjoncteur moteur 400V - 63A</t>
  </si>
  <si>
    <t>ZS-46-3L</t>
  </si>
  <si>
    <t>Câble pressostat</t>
  </si>
  <si>
    <t>ZK7000-0100-0020</t>
  </si>
  <si>
    <t>Câble EtherCat M8 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</si>
</sst>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33333"/>
      <name val="Aptos Narrow"/>
      <family val="2"/>
      <scheme val="minor"/>
    </font>
    <font>
      <sz val="11"/>
      <color rgb="FF333333"/>
      <name val="Aptos Narrow"/>
      <family val="2"/>
    </font>
    <font>
      <sz val="11"/>
      <name val="Aptos"/>
      <family val="2"/>
    </font>
    <font>
      <sz val="11"/>
      <color rgb="FF212529"/>
      <name val="Aptos Narrow"/>
      <family val="2"/>
    </font>
    <font>
      <sz val="11"/>
      <color rgb="FF232323"/>
      <name val="Aptos Display"/>
      <family val="2"/>
    </font>
    <font>
      <b/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/>
    <xf numFmtId="0" fontId="1" fillId="0" borderId="1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3" xfId="0" applyFill="1" applyBorder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Protection="1">
      <protection locked="0" hidden="1"/>
    </xf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Protection="1">
      <protection locked="0" hidden="1"/>
    </xf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 hidden="1"/>
    </xf>
    <xf numFmtId="0" fontId="0" fillId="2" borderId="4" xfId="0" applyFill="1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2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2" borderId="8" xfId="0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3" xfId="0" applyFont="1" applyBorder="1" applyAlignment="1">
      <alignment horizontal="center" vertical="center"/>
    </xf>
    <xf numFmtId="0" fontId="0" fillId="0" borderId="5" xfId="0" applyBorder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4" xfId="0" applyBorder="1" applyProtection="1">
      <protection hidden="1"/>
    </xf>
    <xf numFmtId="0" fontId="0" fillId="0" borderId="2" xfId="0" applyBorder="1" applyProtection="1">
      <protection hidden="1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vertical="center"/>
      <protection locked="0"/>
    </xf>
    <xf numFmtId="0" fontId="0" fillId="4" borderId="1" xfId="0" applyFill="1" applyBorder="1" applyProtection="1">
      <protection hidden="1"/>
    </xf>
    <xf numFmtId="0" fontId="0" fillId="4" borderId="3" xfId="0" applyFill="1" applyBorder="1"/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 applyProtection="1">
      <alignment horizontal="left"/>
      <protection locked="0"/>
    </xf>
    <xf numFmtId="49" fontId="0" fillId="0" borderId="8" xfId="0" quotePrefix="1" applyNumberFormat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0" fontId="3" fillId="0" borderId="8" xfId="0" applyFont="1" applyBorder="1" applyProtection="1">
      <protection locked="0"/>
    </xf>
    <xf numFmtId="0" fontId="0" fillId="0" borderId="9" xfId="0" applyBorder="1" applyProtection="1">
      <protection locked="0"/>
    </xf>
    <xf numFmtId="0" fontId="0" fillId="2" borderId="6" xfId="0" applyFill="1" applyBorder="1" applyProtection="1">
      <protection locked="0"/>
    </xf>
    <xf numFmtId="0" fontId="3" fillId="0" borderId="8" xfId="0" applyFont="1" applyBorder="1"/>
    <xf numFmtId="0" fontId="5" fillId="0" borderId="1" xfId="0" applyFont="1" applyBorder="1"/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6" xfId="0" applyBorder="1" applyProtection="1">
      <protection hidden="1"/>
    </xf>
    <xf numFmtId="0" fontId="0" fillId="0" borderId="1" xfId="0" applyBorder="1" applyAlignment="1">
      <alignment horizontal="right"/>
    </xf>
    <xf numFmtId="49" fontId="0" fillId="2" borderId="8" xfId="0" applyNumberFormat="1" applyFill="1" applyBorder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0" fontId="0" fillId="0" borderId="8" xfId="0" applyBorder="1"/>
    <xf numFmtId="0" fontId="0" fillId="2" borderId="3" xfId="0" applyFill="1" applyBorder="1" applyProtection="1">
      <protection locked="0"/>
    </xf>
    <xf numFmtId="0" fontId="0" fillId="2" borderId="4" xfId="0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 hidden="1"/>
    </xf>
    <xf numFmtId="0" fontId="0" fillId="0" borderId="6" xfId="0" applyBorder="1" applyProtection="1">
      <protection locked="0" hidden="1"/>
    </xf>
    <xf numFmtId="0" fontId="1" fillId="0" borderId="0" xfId="0" applyFont="1"/>
    <xf numFmtId="0" fontId="0" fillId="2" borderId="1" xfId="0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>
      <alignment horizontal="center"/>
    </xf>
    <xf numFmtId="0" fontId="7" fillId="2" borderId="0" xfId="0" applyFont="1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49" fontId="0" fillId="2" borderId="1" xfId="0" applyNumberFormat="1" applyFill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7" xfId="0" applyBorder="1" applyAlignment="1">
      <alignment horizontal="right"/>
    </xf>
    <xf numFmtId="0" fontId="0" fillId="4" borderId="8" xfId="0" applyFill="1" applyBorder="1" applyProtection="1">
      <protection locked="0"/>
    </xf>
    <xf numFmtId="49" fontId="0" fillId="0" borderId="6" xfId="0" applyNumberFormat="1" applyBorder="1" applyAlignment="1" applyProtection="1">
      <alignment horizontal="left"/>
      <protection locked="0"/>
    </xf>
    <xf numFmtId="49" fontId="0" fillId="2" borderId="1" xfId="0" quotePrefix="1" applyNumberFormat="1" applyFill="1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2" fillId="0" borderId="1" xfId="0" applyFont="1" applyBorder="1" applyProtection="1"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right"/>
      <protection locked="0" hidden="1"/>
    </xf>
    <xf numFmtId="0" fontId="0" fillId="2" borderId="4" xfId="0" applyFill="1" applyBorder="1" applyProtection="1">
      <protection hidden="1"/>
    </xf>
    <xf numFmtId="0" fontId="0" fillId="2" borderId="7" xfId="0" applyFill="1" applyBorder="1"/>
    <xf numFmtId="0" fontId="0" fillId="2" borderId="5" xfId="0" applyFill="1" applyBorder="1"/>
    <xf numFmtId="0" fontId="0" fillId="0" borderId="6" xfId="0" applyBorder="1"/>
    <xf numFmtId="0" fontId="0" fillId="2" borderId="4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86F4F-34E5-47C2-9D43-B895ED1C0FB2}">
  <sheetPr codeName="Feuil1">
    <pageSetUpPr fitToPage="1"/>
  </sheetPr>
  <dimension ref="A1:CN1216"/>
  <sheetViews>
    <sheetView tabSelected="1" zoomScale="80" zoomScaleNormal="80" workbookViewId="0">
      <pane ySplit="1" topLeftCell="A45" activePane="bottomLeft" state="frozen"/>
      <selection pane="bottomLeft" activeCell="E62" sqref="E62"/>
    </sheetView>
  </sheetViews>
  <sheetFormatPr baseColWidth="10" defaultColWidth="11.44140625" defaultRowHeight="14.4" x14ac:dyDescent="0.3"/>
  <cols>
    <col min="1" max="1" width="23" style="38" customWidth="1"/>
    <col min="2" max="2" width="23.6640625" style="20" customWidth="1"/>
    <col min="3" max="3" width="43.6640625" style="42" bestFit="1" customWidth="1"/>
    <col min="4" max="4" width="17.44140625" style="20" customWidth="1"/>
    <col min="5" max="5" width="11.6640625" style="20" customWidth="1"/>
    <col min="6" max="6" width="12.5546875" style="3" customWidth="1"/>
    <col min="7" max="7" width="11.33203125" customWidth="1"/>
    <col min="8" max="8" width="11.44140625" style="37" customWidth="1"/>
    <col min="9" max="9" width="18" style="79" customWidth="1"/>
    <col min="10" max="10" width="16.6640625" style="20" customWidth="1"/>
    <col min="11" max="11" width="18.5546875" style="20" customWidth="1"/>
    <col min="12" max="16384" width="11.44140625" style="20"/>
  </cols>
  <sheetData>
    <row r="1" spans="1:11" ht="28.8" x14ac:dyDescent="0.3">
      <c r="A1" s="47" t="s">
        <v>0</v>
      </c>
      <c r="B1" s="57" t="s">
        <v>1</v>
      </c>
      <c r="C1" s="46" t="s">
        <v>2</v>
      </c>
      <c r="D1" s="46" t="s">
        <v>433</v>
      </c>
      <c r="E1" s="46" t="s">
        <v>3</v>
      </c>
      <c r="F1" s="2" t="s">
        <v>4</v>
      </c>
      <c r="G1" s="44" t="s">
        <v>5</v>
      </c>
      <c r="H1" s="46" t="s">
        <v>379</v>
      </c>
      <c r="I1" s="79" t="s">
        <v>503</v>
      </c>
      <c r="J1" s="35" t="s">
        <v>344</v>
      </c>
      <c r="K1" s="71" t="s">
        <v>522</v>
      </c>
    </row>
    <row r="2" spans="1:11" customFormat="1" x14ac:dyDescent="0.3">
      <c r="A2" s="63" t="s">
        <v>545</v>
      </c>
      <c r="B2" s="23" t="s">
        <v>544</v>
      </c>
      <c r="C2" s="17" t="s">
        <v>546</v>
      </c>
      <c r="D2" s="18" t="s">
        <v>101</v>
      </c>
      <c r="E2" s="24">
        <v>2</v>
      </c>
      <c r="F2" s="25">
        <v>1</v>
      </c>
      <c r="G2" s="7">
        <f t="shared" ref="G2:G47" si="0">IF(E2&gt;F2,0,IF(F2-E2&gt;F2,0,F2-E2))</f>
        <v>0</v>
      </c>
      <c r="H2" s="18"/>
      <c r="I2" s="79"/>
      <c r="J2" s="20"/>
      <c r="K2" s="20"/>
    </row>
    <row r="3" spans="1:11" customFormat="1" x14ac:dyDescent="0.3">
      <c r="A3" s="15" t="s">
        <v>545</v>
      </c>
      <c r="B3" s="23" t="s">
        <v>547</v>
      </c>
      <c r="C3" s="17" t="s">
        <v>548</v>
      </c>
      <c r="D3" s="18" t="s">
        <v>101</v>
      </c>
      <c r="E3" s="24">
        <v>1</v>
      </c>
      <c r="F3" s="25">
        <v>1</v>
      </c>
      <c r="G3" s="7">
        <f t="shared" si="0"/>
        <v>0</v>
      </c>
      <c r="H3" s="18"/>
      <c r="I3" s="79"/>
      <c r="J3" s="20"/>
      <c r="K3" s="20"/>
    </row>
    <row r="4" spans="1:11" customFormat="1" x14ac:dyDescent="0.3">
      <c r="A4" s="26" t="s">
        <v>6</v>
      </c>
      <c r="B4" s="16">
        <v>60777523</v>
      </c>
      <c r="C4" s="17" t="s">
        <v>369</v>
      </c>
      <c r="D4" s="18" t="s">
        <v>9</v>
      </c>
      <c r="E4" s="18">
        <v>0</v>
      </c>
      <c r="F4" s="19">
        <v>0</v>
      </c>
      <c r="G4" s="6">
        <f t="shared" si="0"/>
        <v>0</v>
      </c>
      <c r="H4" s="1"/>
    </row>
    <row r="5" spans="1:11" x14ac:dyDescent="0.3">
      <c r="A5" s="15" t="s">
        <v>6</v>
      </c>
      <c r="B5" s="41" t="s">
        <v>10</v>
      </c>
      <c r="C5" s="17" t="s">
        <v>11</v>
      </c>
      <c r="D5" s="18" t="s">
        <v>9</v>
      </c>
      <c r="E5" s="18">
        <v>0</v>
      </c>
      <c r="F5" s="19">
        <v>0</v>
      </c>
      <c r="G5" s="6">
        <f t="shared" si="0"/>
        <v>0</v>
      </c>
      <c r="H5" s="1"/>
      <c r="I5"/>
      <c r="J5"/>
      <c r="K5"/>
    </row>
    <row r="6" spans="1:11" customFormat="1" x14ac:dyDescent="0.3">
      <c r="A6" s="29" t="s">
        <v>6</v>
      </c>
      <c r="B6" s="18" t="s">
        <v>7</v>
      </c>
      <c r="C6" s="17" t="s">
        <v>8</v>
      </c>
      <c r="D6" s="18" t="s">
        <v>9</v>
      </c>
      <c r="E6" s="18">
        <v>0</v>
      </c>
      <c r="F6" s="19">
        <v>0</v>
      </c>
      <c r="G6" s="6">
        <f t="shared" si="0"/>
        <v>0</v>
      </c>
      <c r="H6" s="1"/>
    </row>
    <row r="7" spans="1:11" x14ac:dyDescent="0.3">
      <c r="A7" s="15" t="s">
        <v>6</v>
      </c>
      <c r="B7" s="41" t="s">
        <v>12</v>
      </c>
      <c r="C7" s="17" t="s">
        <v>13</v>
      </c>
      <c r="D7" s="18" t="s">
        <v>101</v>
      </c>
      <c r="E7" s="18">
        <v>7</v>
      </c>
      <c r="F7" s="48">
        <v>2</v>
      </c>
      <c r="G7" s="6">
        <f t="shared" si="0"/>
        <v>0</v>
      </c>
      <c r="H7" s="18"/>
    </row>
    <row r="8" spans="1:11" customFormat="1" x14ac:dyDescent="0.3">
      <c r="A8" s="29" t="s">
        <v>6</v>
      </c>
      <c r="B8" s="18" t="s">
        <v>368</v>
      </c>
      <c r="C8" s="17" t="s">
        <v>13</v>
      </c>
      <c r="D8" s="18" t="s">
        <v>101</v>
      </c>
      <c r="E8" s="18">
        <v>1</v>
      </c>
      <c r="F8" s="19">
        <v>0</v>
      </c>
      <c r="G8" s="6">
        <f t="shared" si="0"/>
        <v>0</v>
      </c>
      <c r="H8" s="1"/>
    </row>
    <row r="9" spans="1:11" x14ac:dyDescent="0.3">
      <c r="A9" s="15" t="s">
        <v>14</v>
      </c>
      <c r="B9" s="41" t="s">
        <v>15</v>
      </c>
      <c r="C9" s="17" t="s">
        <v>16</v>
      </c>
      <c r="D9" s="18" t="s">
        <v>14</v>
      </c>
      <c r="E9" s="18">
        <v>4</v>
      </c>
      <c r="F9" s="48">
        <v>1</v>
      </c>
      <c r="G9" s="6">
        <f t="shared" si="0"/>
        <v>0</v>
      </c>
      <c r="H9" s="18"/>
      <c r="I9" s="81"/>
    </row>
    <row r="10" spans="1:11" x14ac:dyDescent="0.3">
      <c r="A10" s="15" t="s">
        <v>17</v>
      </c>
      <c r="B10" s="41" t="s">
        <v>79</v>
      </c>
      <c r="C10" s="17" t="s">
        <v>77</v>
      </c>
      <c r="D10" s="18" t="s">
        <v>17</v>
      </c>
      <c r="E10" s="18">
        <v>1</v>
      </c>
      <c r="F10" s="19">
        <v>0</v>
      </c>
      <c r="G10" s="6">
        <f t="shared" si="0"/>
        <v>0</v>
      </c>
      <c r="H10" s="1"/>
      <c r="I10"/>
      <c r="J10"/>
      <c r="K10" s="20" t="s">
        <v>520</v>
      </c>
    </row>
    <row r="11" spans="1:11" x14ac:dyDescent="0.3">
      <c r="A11" s="15" t="s">
        <v>17</v>
      </c>
      <c r="B11" s="41" t="s">
        <v>78</v>
      </c>
      <c r="C11" s="17" t="s">
        <v>77</v>
      </c>
      <c r="D11" s="18" t="s">
        <v>17</v>
      </c>
      <c r="E11" s="18">
        <v>1</v>
      </c>
      <c r="F11" s="48">
        <v>1</v>
      </c>
      <c r="G11" s="6">
        <f t="shared" si="0"/>
        <v>0</v>
      </c>
      <c r="H11" s="18"/>
      <c r="I11" s="81"/>
    </row>
    <row r="12" spans="1:11" x14ac:dyDescent="0.3">
      <c r="A12" s="15" t="s">
        <v>17</v>
      </c>
      <c r="B12" s="41" t="s">
        <v>76</v>
      </c>
      <c r="C12" s="17" t="s">
        <v>77</v>
      </c>
      <c r="D12" s="18" t="s">
        <v>17</v>
      </c>
      <c r="E12" s="18">
        <v>1</v>
      </c>
      <c r="F12" s="48">
        <v>1</v>
      </c>
      <c r="G12" s="6">
        <f t="shared" si="0"/>
        <v>0</v>
      </c>
      <c r="H12" s="18"/>
      <c r="I12" s="81"/>
    </row>
    <row r="13" spans="1:11" x14ac:dyDescent="0.3">
      <c r="A13" s="15" t="s">
        <v>17</v>
      </c>
      <c r="B13" s="41" t="s">
        <v>74</v>
      </c>
      <c r="C13" s="17" t="s">
        <v>75</v>
      </c>
      <c r="D13" s="18" t="s">
        <v>17</v>
      </c>
      <c r="E13" s="18">
        <v>3</v>
      </c>
      <c r="F13" s="48">
        <v>1</v>
      </c>
      <c r="G13" s="6">
        <f t="shared" si="0"/>
        <v>0</v>
      </c>
      <c r="H13" s="18"/>
      <c r="I13" s="81"/>
    </row>
    <row r="14" spans="1:11" x14ac:dyDescent="0.3">
      <c r="A14" s="15" t="s">
        <v>17</v>
      </c>
      <c r="B14" s="41" t="s">
        <v>72</v>
      </c>
      <c r="C14" s="17" t="s">
        <v>73</v>
      </c>
      <c r="D14" s="18" t="s">
        <v>17</v>
      </c>
      <c r="E14" s="18">
        <v>0</v>
      </c>
      <c r="F14" s="48">
        <v>1</v>
      </c>
      <c r="G14" s="6">
        <f t="shared" si="0"/>
        <v>1</v>
      </c>
      <c r="H14" s="18"/>
      <c r="I14" s="81"/>
    </row>
    <row r="15" spans="1:11" customFormat="1" x14ac:dyDescent="0.3">
      <c r="A15" s="29" t="s">
        <v>17</v>
      </c>
      <c r="B15" s="18" t="s">
        <v>358</v>
      </c>
      <c r="C15" s="17" t="s">
        <v>359</v>
      </c>
      <c r="D15" s="18" t="s">
        <v>17</v>
      </c>
      <c r="E15" s="18">
        <v>8</v>
      </c>
      <c r="F15" s="48">
        <v>2</v>
      </c>
      <c r="G15" s="6">
        <f t="shared" si="0"/>
        <v>0</v>
      </c>
      <c r="H15" s="18"/>
      <c r="I15" s="81"/>
      <c r="J15" s="20"/>
      <c r="K15" s="20"/>
    </row>
    <row r="16" spans="1:11" x14ac:dyDescent="0.3">
      <c r="A16" s="15" t="s">
        <v>17</v>
      </c>
      <c r="B16" s="41" t="s">
        <v>356</v>
      </c>
      <c r="C16" s="17" t="s">
        <v>357</v>
      </c>
      <c r="D16" s="18" t="s">
        <v>17</v>
      </c>
      <c r="E16" s="18">
        <v>8</v>
      </c>
      <c r="F16" s="48">
        <v>1</v>
      </c>
      <c r="G16" s="6">
        <f t="shared" si="0"/>
        <v>0</v>
      </c>
      <c r="H16" s="18"/>
      <c r="I16" s="81"/>
    </row>
    <row r="17" spans="1:11" x14ac:dyDescent="0.3">
      <c r="A17" s="15" t="s">
        <v>17</v>
      </c>
      <c r="B17" s="41" t="s">
        <v>360</v>
      </c>
      <c r="C17" s="17" t="s">
        <v>71</v>
      </c>
      <c r="D17" s="18" t="s">
        <v>17</v>
      </c>
      <c r="E17" s="18">
        <v>1</v>
      </c>
      <c r="F17" s="19">
        <v>0</v>
      </c>
      <c r="G17" s="6">
        <f t="shared" si="0"/>
        <v>0</v>
      </c>
      <c r="H17" s="1"/>
      <c r="I17"/>
      <c r="J17"/>
      <c r="K17"/>
    </row>
    <row r="18" spans="1:11" x14ac:dyDescent="0.3">
      <c r="A18" s="15" t="s">
        <v>17</v>
      </c>
      <c r="B18" s="18" t="s">
        <v>341</v>
      </c>
      <c r="C18" s="17" t="s">
        <v>71</v>
      </c>
      <c r="D18" s="18" t="s">
        <v>17</v>
      </c>
      <c r="E18" s="18">
        <v>2</v>
      </c>
      <c r="F18" s="48">
        <v>2</v>
      </c>
      <c r="G18" s="6">
        <f t="shared" si="0"/>
        <v>0</v>
      </c>
      <c r="H18" s="18"/>
      <c r="I18" s="81"/>
    </row>
    <row r="19" spans="1:11" x14ac:dyDescent="0.3">
      <c r="A19" s="15" t="s">
        <v>17</v>
      </c>
      <c r="B19" s="18" t="s">
        <v>69</v>
      </c>
      <c r="C19" s="17" t="s">
        <v>70</v>
      </c>
      <c r="D19" s="18" t="s">
        <v>17</v>
      </c>
      <c r="E19" s="18">
        <v>2</v>
      </c>
      <c r="F19" s="48">
        <v>1</v>
      </c>
      <c r="G19" s="6">
        <f t="shared" si="0"/>
        <v>0</v>
      </c>
      <c r="H19" s="18"/>
      <c r="I19" s="83"/>
      <c r="J19" s="38"/>
      <c r="K19" s="38"/>
    </row>
    <row r="20" spans="1:11" x14ac:dyDescent="0.3">
      <c r="A20" s="15" t="s">
        <v>17</v>
      </c>
      <c r="B20" s="41" t="s">
        <v>67</v>
      </c>
      <c r="C20" s="17" t="s">
        <v>68</v>
      </c>
      <c r="D20" s="18" t="s">
        <v>17</v>
      </c>
      <c r="E20" s="18">
        <v>3</v>
      </c>
      <c r="F20" s="48">
        <v>1</v>
      </c>
      <c r="G20" s="6">
        <f t="shared" si="0"/>
        <v>0</v>
      </c>
      <c r="H20" s="18"/>
      <c r="I20" s="81"/>
    </row>
    <row r="21" spans="1:11" x14ac:dyDescent="0.3">
      <c r="A21" s="15" t="s">
        <v>17</v>
      </c>
      <c r="B21" s="41" t="s">
        <v>518</v>
      </c>
      <c r="C21" s="17" t="s">
        <v>519</v>
      </c>
      <c r="D21" s="18" t="s">
        <v>17</v>
      </c>
      <c r="E21" s="18">
        <v>1</v>
      </c>
      <c r="F21" s="48">
        <v>1</v>
      </c>
      <c r="G21" s="6">
        <f t="shared" si="0"/>
        <v>0</v>
      </c>
      <c r="H21" s="18"/>
      <c r="I21" s="81"/>
    </row>
    <row r="22" spans="1:11" x14ac:dyDescent="0.3">
      <c r="A22" s="15" t="s">
        <v>17</v>
      </c>
      <c r="B22" s="41" t="s">
        <v>65</v>
      </c>
      <c r="C22" s="17" t="s">
        <v>66</v>
      </c>
      <c r="D22" s="18" t="s">
        <v>17</v>
      </c>
      <c r="E22" s="18">
        <v>1</v>
      </c>
      <c r="F22" s="48">
        <v>1</v>
      </c>
      <c r="G22" s="6">
        <f t="shared" si="0"/>
        <v>0</v>
      </c>
      <c r="H22" s="15"/>
      <c r="I22" s="81"/>
    </row>
    <row r="23" spans="1:11" x14ac:dyDescent="0.3">
      <c r="A23" s="15" t="s">
        <v>17</v>
      </c>
      <c r="B23" s="41" t="s">
        <v>64</v>
      </c>
      <c r="C23" s="17" t="s">
        <v>51</v>
      </c>
      <c r="D23" s="18" t="s">
        <v>17</v>
      </c>
      <c r="E23" s="18">
        <v>2</v>
      </c>
      <c r="F23" s="48">
        <v>1</v>
      </c>
      <c r="G23" s="6">
        <f t="shared" si="0"/>
        <v>0</v>
      </c>
      <c r="H23" s="18"/>
      <c r="I23" s="81"/>
    </row>
    <row r="24" spans="1:11" x14ac:dyDescent="0.3">
      <c r="A24" s="15" t="s">
        <v>17</v>
      </c>
      <c r="B24" s="41" t="s">
        <v>62</v>
      </c>
      <c r="C24" s="17" t="s">
        <v>63</v>
      </c>
      <c r="D24" s="18" t="s">
        <v>17</v>
      </c>
      <c r="E24" s="18">
        <v>4</v>
      </c>
      <c r="F24" s="48">
        <v>1</v>
      </c>
      <c r="G24" s="6">
        <f t="shared" si="0"/>
        <v>0</v>
      </c>
      <c r="H24" s="18"/>
      <c r="I24" s="83"/>
      <c r="J24" s="38"/>
      <c r="K24" s="38"/>
    </row>
    <row r="25" spans="1:11" x14ac:dyDescent="0.3">
      <c r="A25" s="15" t="s">
        <v>17</v>
      </c>
      <c r="B25" s="41" t="s">
        <v>61</v>
      </c>
      <c r="C25" s="17" t="s">
        <v>509</v>
      </c>
      <c r="D25" s="18" t="s">
        <v>17</v>
      </c>
      <c r="E25" s="18">
        <v>0</v>
      </c>
      <c r="F25" s="48">
        <v>1</v>
      </c>
      <c r="G25" s="6">
        <f t="shared" si="0"/>
        <v>1</v>
      </c>
      <c r="H25" s="18"/>
      <c r="I25" s="82"/>
      <c r="J25" s="9"/>
      <c r="K25" s="9"/>
    </row>
    <row r="26" spans="1:11" x14ac:dyDescent="0.3">
      <c r="A26" s="15" t="s">
        <v>17</v>
      </c>
      <c r="B26" s="41" t="s">
        <v>59</v>
      </c>
      <c r="C26" s="17" t="s">
        <v>60</v>
      </c>
      <c r="D26" s="18" t="s">
        <v>17</v>
      </c>
      <c r="E26" s="18">
        <v>3</v>
      </c>
      <c r="F26" s="48">
        <v>1</v>
      </c>
      <c r="G26" s="6">
        <f t="shared" si="0"/>
        <v>0</v>
      </c>
      <c r="H26" s="18"/>
      <c r="I26" s="84"/>
      <c r="J26"/>
      <c r="K26"/>
    </row>
    <row r="27" spans="1:11" x14ac:dyDescent="0.3">
      <c r="A27" s="15" t="s">
        <v>17</v>
      </c>
      <c r="B27" s="41" t="s">
        <v>57</v>
      </c>
      <c r="C27" s="17" t="s">
        <v>58</v>
      </c>
      <c r="D27" s="18" t="s">
        <v>17</v>
      </c>
      <c r="E27" s="18">
        <v>0</v>
      </c>
      <c r="F27" s="48">
        <v>1</v>
      </c>
      <c r="G27" s="6">
        <f t="shared" si="0"/>
        <v>1</v>
      </c>
      <c r="H27" s="18"/>
      <c r="I27" s="81"/>
    </row>
    <row r="28" spans="1:11" x14ac:dyDescent="0.3">
      <c r="A28" s="15" t="s">
        <v>17</v>
      </c>
      <c r="B28" s="41" t="s">
        <v>507</v>
      </c>
      <c r="C28" s="17" t="s">
        <v>508</v>
      </c>
      <c r="D28" s="18" t="s">
        <v>17</v>
      </c>
      <c r="E28" s="18">
        <v>0</v>
      </c>
      <c r="F28" s="48">
        <v>1</v>
      </c>
      <c r="G28" s="6">
        <f t="shared" si="0"/>
        <v>1</v>
      </c>
      <c r="H28" s="18"/>
      <c r="I28" s="81"/>
    </row>
    <row r="29" spans="1:11" x14ac:dyDescent="0.3">
      <c r="A29" s="15" t="s">
        <v>17</v>
      </c>
      <c r="B29" s="41" t="s">
        <v>56</v>
      </c>
      <c r="C29" s="17" t="s">
        <v>53</v>
      </c>
      <c r="D29" s="18" t="s">
        <v>17</v>
      </c>
      <c r="E29" s="18">
        <v>3</v>
      </c>
      <c r="F29" s="48">
        <v>1</v>
      </c>
      <c r="G29" s="6">
        <f t="shared" si="0"/>
        <v>0</v>
      </c>
      <c r="H29" s="18"/>
      <c r="I29" s="83"/>
      <c r="J29" s="38"/>
      <c r="K29" s="38"/>
    </row>
    <row r="30" spans="1:11" x14ac:dyDescent="0.3">
      <c r="A30" s="15" t="s">
        <v>17</v>
      </c>
      <c r="B30" s="41" t="s">
        <v>55</v>
      </c>
      <c r="C30" s="17" t="s">
        <v>51</v>
      </c>
      <c r="D30" s="18" t="s">
        <v>17</v>
      </c>
      <c r="E30" s="18">
        <v>3</v>
      </c>
      <c r="F30" s="48">
        <v>1</v>
      </c>
      <c r="G30" s="6">
        <f t="shared" si="0"/>
        <v>0</v>
      </c>
      <c r="H30" s="18"/>
      <c r="I30" s="84"/>
      <c r="J30"/>
      <c r="K30"/>
    </row>
    <row r="31" spans="1:11" x14ac:dyDescent="0.3">
      <c r="A31" s="15" t="s">
        <v>17</v>
      </c>
      <c r="B31" s="41" t="s">
        <v>54</v>
      </c>
      <c r="C31" s="17" t="s">
        <v>51</v>
      </c>
      <c r="D31" s="18" t="s">
        <v>17</v>
      </c>
      <c r="E31" s="18">
        <v>1</v>
      </c>
      <c r="F31" s="48">
        <v>1</v>
      </c>
      <c r="G31" s="6">
        <f t="shared" si="0"/>
        <v>0</v>
      </c>
      <c r="H31" s="18"/>
      <c r="I31" s="81"/>
    </row>
    <row r="32" spans="1:11" x14ac:dyDescent="0.3">
      <c r="A32" s="15" t="s">
        <v>17</v>
      </c>
      <c r="B32" s="41" t="s">
        <v>52</v>
      </c>
      <c r="C32" s="17" t="s">
        <v>53</v>
      </c>
      <c r="D32" s="18" t="s">
        <v>17</v>
      </c>
      <c r="E32" s="18">
        <v>1</v>
      </c>
      <c r="F32" s="48">
        <v>1</v>
      </c>
      <c r="G32" s="6">
        <f t="shared" si="0"/>
        <v>0</v>
      </c>
      <c r="H32" s="18"/>
      <c r="I32" s="81"/>
    </row>
    <row r="33" spans="1:11" x14ac:dyDescent="0.3">
      <c r="A33" s="15" t="s">
        <v>17</v>
      </c>
      <c r="B33" s="41" t="s">
        <v>50</v>
      </c>
      <c r="C33" s="17" t="s">
        <v>51</v>
      </c>
      <c r="D33" s="18" t="s">
        <v>17</v>
      </c>
      <c r="E33" s="18">
        <v>5</v>
      </c>
      <c r="F33" s="48">
        <v>1</v>
      </c>
      <c r="G33" s="6">
        <f t="shared" si="0"/>
        <v>0</v>
      </c>
      <c r="H33" s="18"/>
      <c r="I33" s="81"/>
    </row>
    <row r="34" spans="1:11" customFormat="1" x14ac:dyDescent="0.3">
      <c r="A34" s="63" t="s">
        <v>17</v>
      </c>
      <c r="B34" s="18" t="s">
        <v>35</v>
      </c>
      <c r="C34" s="17" t="s">
        <v>36</v>
      </c>
      <c r="D34" s="18" t="s">
        <v>17</v>
      </c>
      <c r="E34" s="18">
        <v>5</v>
      </c>
      <c r="F34" s="48">
        <v>1</v>
      </c>
      <c r="G34" s="6">
        <f t="shared" si="0"/>
        <v>0</v>
      </c>
      <c r="H34" s="39"/>
      <c r="I34" s="84"/>
    </row>
    <row r="35" spans="1:11" customFormat="1" x14ac:dyDescent="0.3">
      <c r="A35" s="15" t="s">
        <v>17</v>
      </c>
      <c r="B35" s="18" t="s">
        <v>48</v>
      </c>
      <c r="C35" s="17" t="s">
        <v>49</v>
      </c>
      <c r="D35" s="18" t="s">
        <v>17</v>
      </c>
      <c r="E35" s="18">
        <v>0</v>
      </c>
      <c r="F35" s="48">
        <v>1</v>
      </c>
      <c r="G35" s="6">
        <f t="shared" si="0"/>
        <v>1</v>
      </c>
      <c r="H35" s="102"/>
      <c r="I35" s="81"/>
      <c r="J35" s="20"/>
      <c r="K35" s="20"/>
    </row>
    <row r="36" spans="1:11" customFormat="1" x14ac:dyDescent="0.3">
      <c r="A36" s="26" t="s">
        <v>17</v>
      </c>
      <c r="B36" s="18" t="s">
        <v>46</v>
      </c>
      <c r="C36" s="17" t="s">
        <v>47</v>
      </c>
      <c r="D36" s="18" t="s">
        <v>17</v>
      </c>
      <c r="E36" s="18">
        <v>6</v>
      </c>
      <c r="F36" s="19">
        <v>0</v>
      </c>
      <c r="G36" s="6">
        <f t="shared" si="0"/>
        <v>0</v>
      </c>
      <c r="H36" s="1"/>
    </row>
    <row r="37" spans="1:11" x14ac:dyDescent="0.3">
      <c r="A37" s="15" t="s">
        <v>17</v>
      </c>
      <c r="B37" s="41" t="s">
        <v>45</v>
      </c>
      <c r="C37" s="17" t="s">
        <v>44</v>
      </c>
      <c r="D37" s="18" t="s">
        <v>17</v>
      </c>
      <c r="E37" s="18">
        <v>2</v>
      </c>
      <c r="F37" s="19">
        <v>0</v>
      </c>
      <c r="G37" s="6">
        <f t="shared" si="0"/>
        <v>0</v>
      </c>
      <c r="H37" s="101"/>
      <c r="I37"/>
      <c r="J37"/>
      <c r="K37"/>
    </row>
    <row r="38" spans="1:11" customFormat="1" x14ac:dyDescent="0.3">
      <c r="A38" s="29" t="s">
        <v>17</v>
      </c>
      <c r="B38" s="18" t="s">
        <v>43</v>
      </c>
      <c r="C38" s="17" t="s">
        <v>44</v>
      </c>
      <c r="D38" s="18" t="s">
        <v>17</v>
      </c>
      <c r="E38" s="18">
        <v>2</v>
      </c>
      <c r="F38" s="19">
        <v>0</v>
      </c>
      <c r="G38" s="6">
        <f t="shared" si="0"/>
        <v>0</v>
      </c>
      <c r="H38" s="1"/>
    </row>
    <row r="39" spans="1:11" x14ac:dyDescent="0.3">
      <c r="A39" s="15" t="s">
        <v>17</v>
      </c>
      <c r="B39" s="41" t="s">
        <v>41</v>
      </c>
      <c r="C39" s="17" t="s">
        <v>42</v>
      </c>
      <c r="D39" s="18" t="s">
        <v>17</v>
      </c>
      <c r="E39" s="18">
        <v>1</v>
      </c>
      <c r="F39" s="48">
        <v>5</v>
      </c>
      <c r="G39" s="6">
        <f t="shared" si="0"/>
        <v>4</v>
      </c>
      <c r="H39" s="18"/>
      <c r="I39" s="81"/>
    </row>
    <row r="40" spans="1:11" x14ac:dyDescent="0.3">
      <c r="A40" s="15" t="s">
        <v>17</v>
      </c>
      <c r="B40" s="41" t="s">
        <v>40</v>
      </c>
      <c r="C40" s="17" t="s">
        <v>32</v>
      </c>
      <c r="D40" s="18" t="s">
        <v>17</v>
      </c>
      <c r="E40" s="18">
        <v>1</v>
      </c>
      <c r="F40" s="19">
        <v>0</v>
      </c>
      <c r="G40" s="6">
        <f t="shared" si="0"/>
        <v>0</v>
      </c>
      <c r="H40" s="1"/>
      <c r="I40"/>
      <c r="J40"/>
      <c r="K40"/>
    </row>
    <row r="41" spans="1:11" customFormat="1" x14ac:dyDescent="0.3">
      <c r="A41" s="29" t="s">
        <v>17</v>
      </c>
      <c r="B41" s="18" t="s">
        <v>38</v>
      </c>
      <c r="C41" s="17" t="s">
        <v>39</v>
      </c>
      <c r="D41" s="18" t="s">
        <v>17</v>
      </c>
      <c r="E41" s="18">
        <v>2</v>
      </c>
      <c r="F41" s="48">
        <v>2</v>
      </c>
      <c r="G41" s="6">
        <f t="shared" si="0"/>
        <v>0</v>
      </c>
      <c r="H41" s="18"/>
      <c r="I41" s="81"/>
      <c r="J41" s="20"/>
      <c r="K41" s="20"/>
    </row>
    <row r="42" spans="1:11" x14ac:dyDescent="0.3">
      <c r="A42" s="15" t="s">
        <v>17</v>
      </c>
      <c r="B42" s="41" t="s">
        <v>37</v>
      </c>
      <c r="C42" s="17" t="s">
        <v>25</v>
      </c>
      <c r="D42" s="18" t="s">
        <v>17</v>
      </c>
      <c r="E42" s="18">
        <v>3</v>
      </c>
      <c r="F42" s="48">
        <v>1</v>
      </c>
      <c r="G42" s="6">
        <f t="shared" si="0"/>
        <v>0</v>
      </c>
      <c r="H42" s="18"/>
      <c r="I42" s="81"/>
    </row>
    <row r="43" spans="1:11" x14ac:dyDescent="0.3">
      <c r="A43" s="15" t="s">
        <v>17</v>
      </c>
      <c r="B43" s="41" t="s">
        <v>33</v>
      </c>
      <c r="C43" s="17" t="s">
        <v>34</v>
      </c>
      <c r="D43" s="18" t="s">
        <v>17</v>
      </c>
      <c r="E43" s="18">
        <v>1</v>
      </c>
      <c r="F43" s="19">
        <v>0</v>
      </c>
      <c r="G43" s="6">
        <f t="shared" si="0"/>
        <v>0</v>
      </c>
      <c r="H43" s="1"/>
      <c r="I43"/>
      <c r="J43"/>
      <c r="K43"/>
    </row>
    <row r="44" spans="1:11" customFormat="1" x14ac:dyDescent="0.3">
      <c r="A44" s="29" t="s">
        <v>17</v>
      </c>
      <c r="B44" s="18" t="s">
        <v>31</v>
      </c>
      <c r="C44" s="17" t="s">
        <v>32</v>
      </c>
      <c r="D44" s="18" t="s">
        <v>17</v>
      </c>
      <c r="E44" s="18">
        <v>0</v>
      </c>
      <c r="F44" s="48">
        <v>1</v>
      </c>
      <c r="G44" s="6">
        <f t="shared" si="0"/>
        <v>1</v>
      </c>
      <c r="H44" s="18"/>
      <c r="I44" s="83"/>
      <c r="J44" s="38"/>
      <c r="K44" s="38"/>
    </row>
    <row r="45" spans="1:11" x14ac:dyDescent="0.3">
      <c r="A45" s="15" t="s">
        <v>17</v>
      </c>
      <c r="B45" s="41" t="s">
        <v>30</v>
      </c>
      <c r="C45" s="17" t="s">
        <v>29</v>
      </c>
      <c r="D45" s="18" t="s">
        <v>17</v>
      </c>
      <c r="E45" s="18">
        <v>0</v>
      </c>
      <c r="F45" s="48">
        <v>1</v>
      </c>
      <c r="G45" s="6">
        <f t="shared" si="0"/>
        <v>1</v>
      </c>
      <c r="H45" s="18"/>
      <c r="I45" s="81"/>
    </row>
    <row r="46" spans="1:11" customFormat="1" x14ac:dyDescent="0.3">
      <c r="A46" s="63" t="s">
        <v>17</v>
      </c>
      <c r="B46" s="18" t="s">
        <v>354</v>
      </c>
      <c r="C46" s="17" t="s">
        <v>355</v>
      </c>
      <c r="D46" s="18" t="s">
        <v>17</v>
      </c>
      <c r="E46" s="18">
        <v>1</v>
      </c>
      <c r="F46" s="19">
        <v>0</v>
      </c>
      <c r="G46" s="6">
        <f t="shared" si="0"/>
        <v>0</v>
      </c>
      <c r="H46" s="1"/>
    </row>
    <row r="47" spans="1:11" customFormat="1" x14ac:dyDescent="0.3">
      <c r="A47" s="26" t="s">
        <v>17</v>
      </c>
      <c r="B47" s="18" t="s">
        <v>28</v>
      </c>
      <c r="C47" s="17" t="s">
        <v>29</v>
      </c>
      <c r="D47" s="18" t="s">
        <v>17</v>
      </c>
      <c r="E47" s="18">
        <v>2</v>
      </c>
      <c r="F47" s="48">
        <v>1</v>
      </c>
      <c r="G47" s="6">
        <f t="shared" si="0"/>
        <v>0</v>
      </c>
      <c r="H47" s="18"/>
      <c r="I47" s="81"/>
      <c r="J47" s="20"/>
      <c r="K47" s="20"/>
    </row>
    <row r="48" spans="1:11" x14ac:dyDescent="0.3">
      <c r="A48" s="15" t="s">
        <v>17</v>
      </c>
      <c r="B48" s="41" t="s">
        <v>380</v>
      </c>
      <c r="C48" s="17" t="s">
        <v>381</v>
      </c>
      <c r="D48" s="18" t="s">
        <v>17</v>
      </c>
      <c r="E48" s="18">
        <v>1</v>
      </c>
      <c r="F48" s="19">
        <v>0</v>
      </c>
      <c r="G48" s="6">
        <v>0</v>
      </c>
      <c r="H48" s="1"/>
      <c r="I48"/>
      <c r="J48"/>
      <c r="K48"/>
    </row>
    <row r="49" spans="1:11" customFormat="1" x14ac:dyDescent="0.3">
      <c r="A49" s="29" t="s">
        <v>17</v>
      </c>
      <c r="B49" s="18" t="s">
        <v>26</v>
      </c>
      <c r="C49" s="17" t="s">
        <v>27</v>
      </c>
      <c r="D49" s="18" t="s">
        <v>17</v>
      </c>
      <c r="E49" s="18">
        <v>2</v>
      </c>
      <c r="F49" s="19">
        <v>0</v>
      </c>
      <c r="G49" s="6">
        <f t="shared" ref="G49:G113" si="1">IF(E49&gt;F49,0,IF(F49-E49&gt;F49,0,F49-E49))</f>
        <v>0</v>
      </c>
      <c r="H49" s="1"/>
    </row>
    <row r="50" spans="1:11" x14ac:dyDescent="0.3">
      <c r="A50" s="15" t="s">
        <v>17</v>
      </c>
      <c r="B50" s="41" t="s">
        <v>24</v>
      </c>
      <c r="C50" s="17" t="s">
        <v>25</v>
      </c>
      <c r="D50" s="18" t="s">
        <v>17</v>
      </c>
      <c r="E50" s="18">
        <v>2</v>
      </c>
      <c r="F50" s="48">
        <v>1</v>
      </c>
      <c r="G50" s="6">
        <f t="shared" si="1"/>
        <v>0</v>
      </c>
      <c r="H50" s="18"/>
    </row>
    <row r="51" spans="1:11" x14ac:dyDescent="0.3">
      <c r="A51" s="15" t="s">
        <v>17</v>
      </c>
      <c r="B51" s="41" t="s">
        <v>22</v>
      </c>
      <c r="C51" s="17" t="s">
        <v>23</v>
      </c>
      <c r="D51" s="18" t="s">
        <v>17</v>
      </c>
      <c r="E51" s="18">
        <v>3</v>
      </c>
      <c r="F51" s="19">
        <v>0</v>
      </c>
      <c r="G51" s="6">
        <f t="shared" si="1"/>
        <v>0</v>
      </c>
      <c r="H51" s="1"/>
      <c r="I51"/>
      <c r="J51"/>
      <c r="K51"/>
    </row>
    <row r="52" spans="1:11" x14ac:dyDescent="0.3">
      <c r="A52" s="53" t="s">
        <v>17</v>
      </c>
      <c r="B52" s="90" t="s">
        <v>325</v>
      </c>
      <c r="C52" s="54" t="s">
        <v>326</v>
      </c>
      <c r="D52" s="53" t="s">
        <v>17</v>
      </c>
      <c r="E52" s="53">
        <v>5</v>
      </c>
      <c r="F52" s="55">
        <v>2</v>
      </c>
      <c r="G52" s="56">
        <f t="shared" si="1"/>
        <v>0</v>
      </c>
      <c r="H52" s="18"/>
      <c r="I52" s="85"/>
      <c r="J52"/>
      <c r="K52"/>
    </row>
    <row r="53" spans="1:11" customFormat="1" x14ac:dyDescent="0.3">
      <c r="A53" s="63" t="s">
        <v>17</v>
      </c>
      <c r="B53" s="18" t="s">
        <v>20</v>
      </c>
      <c r="C53" s="17" t="s">
        <v>21</v>
      </c>
      <c r="D53" s="18" t="s">
        <v>17</v>
      </c>
      <c r="E53" s="18">
        <v>0</v>
      </c>
      <c r="F53" s="48">
        <v>1</v>
      </c>
      <c r="G53" s="6">
        <f t="shared" si="1"/>
        <v>1</v>
      </c>
      <c r="H53" s="18"/>
      <c r="I53" s="79"/>
      <c r="J53" s="20"/>
      <c r="K53" s="20"/>
    </row>
    <row r="54" spans="1:11" customFormat="1" x14ac:dyDescent="0.3">
      <c r="A54" s="63" t="s">
        <v>17</v>
      </c>
      <c r="B54" s="18" t="s">
        <v>566</v>
      </c>
      <c r="C54" s="17" t="s">
        <v>567</v>
      </c>
      <c r="D54" s="18" t="s">
        <v>17</v>
      </c>
      <c r="E54" s="18">
        <v>2</v>
      </c>
      <c r="F54" s="48">
        <v>1</v>
      </c>
      <c r="G54" s="6">
        <f t="shared" si="1"/>
        <v>0</v>
      </c>
      <c r="H54" s="18"/>
      <c r="I54" s="79"/>
      <c r="J54" s="20"/>
      <c r="K54" s="20"/>
    </row>
    <row r="55" spans="1:11" s="9" customFormat="1" x14ac:dyDescent="0.3">
      <c r="A55" s="15" t="s">
        <v>17</v>
      </c>
      <c r="B55" s="18" t="s">
        <v>18</v>
      </c>
      <c r="C55" s="17" t="s">
        <v>19</v>
      </c>
      <c r="D55" s="18" t="s">
        <v>17</v>
      </c>
      <c r="E55" s="18">
        <v>4</v>
      </c>
      <c r="F55" s="48">
        <v>10</v>
      </c>
      <c r="G55" s="6">
        <f t="shared" si="1"/>
        <v>6</v>
      </c>
      <c r="H55" s="37"/>
      <c r="I55" s="79"/>
      <c r="J55" s="20"/>
      <c r="K55" s="20"/>
    </row>
    <row r="56" spans="1:11" customFormat="1" x14ac:dyDescent="0.3">
      <c r="A56" s="26" t="s">
        <v>17</v>
      </c>
      <c r="B56" s="18" t="s">
        <v>383</v>
      </c>
      <c r="C56" s="17" t="s">
        <v>384</v>
      </c>
      <c r="D56" s="18" t="s">
        <v>17</v>
      </c>
      <c r="E56" s="18">
        <v>1</v>
      </c>
      <c r="F56" s="19">
        <v>0</v>
      </c>
      <c r="G56" s="6">
        <f t="shared" si="1"/>
        <v>0</v>
      </c>
      <c r="H56" s="1"/>
    </row>
    <row r="57" spans="1:11" x14ac:dyDescent="0.3">
      <c r="A57" s="15" t="s">
        <v>445</v>
      </c>
      <c r="B57" s="58" t="s">
        <v>446</v>
      </c>
      <c r="C57" s="17" t="s">
        <v>447</v>
      </c>
      <c r="D57" s="18" t="s">
        <v>101</v>
      </c>
      <c r="E57" s="18">
        <v>6</v>
      </c>
      <c r="F57" s="48">
        <v>2</v>
      </c>
      <c r="G57" s="6">
        <f t="shared" si="1"/>
        <v>0</v>
      </c>
      <c r="H57" s="18"/>
      <c r="I57" s="84"/>
      <c r="J57"/>
      <c r="K57"/>
    </row>
    <row r="58" spans="1:11" x14ac:dyDescent="0.3">
      <c r="A58" s="15" t="s">
        <v>80</v>
      </c>
      <c r="B58" s="33" t="s">
        <v>81</v>
      </c>
      <c r="C58" s="21" t="s">
        <v>82</v>
      </c>
      <c r="D58" s="15" t="s">
        <v>83</v>
      </c>
      <c r="E58" s="15">
        <v>1</v>
      </c>
      <c r="F58" s="22">
        <v>0</v>
      </c>
      <c r="G58" s="10">
        <f t="shared" si="1"/>
        <v>0</v>
      </c>
      <c r="H58" s="4"/>
      <c r="I58"/>
      <c r="J58"/>
      <c r="K58"/>
    </row>
    <row r="59" spans="1:11" s="38" customFormat="1" x14ac:dyDescent="0.3">
      <c r="A59" s="15" t="s">
        <v>84</v>
      </c>
      <c r="B59" s="41" t="s">
        <v>85</v>
      </c>
      <c r="C59" s="17" t="s">
        <v>86</v>
      </c>
      <c r="D59" s="18" t="s">
        <v>87</v>
      </c>
      <c r="E59" s="18">
        <v>1</v>
      </c>
      <c r="F59" s="19">
        <v>0</v>
      </c>
      <c r="G59" s="6">
        <f t="shared" si="1"/>
        <v>0</v>
      </c>
      <c r="H59" s="1"/>
      <c r="I59" s="20"/>
      <c r="J59" s="20"/>
      <c r="K59" s="20"/>
    </row>
    <row r="60" spans="1:11" x14ac:dyDescent="0.3">
      <c r="A60" s="15" t="s">
        <v>377</v>
      </c>
      <c r="B60" s="41" t="s">
        <v>517</v>
      </c>
      <c r="C60" s="17" t="s">
        <v>378</v>
      </c>
      <c r="D60" s="18" t="s">
        <v>101</v>
      </c>
      <c r="E60" s="18">
        <v>3</v>
      </c>
      <c r="F60" s="48">
        <v>2</v>
      </c>
      <c r="G60" s="6">
        <f t="shared" si="1"/>
        <v>0</v>
      </c>
      <c r="H60" s="18"/>
      <c r="I60" s="84"/>
      <c r="J60"/>
      <c r="K60"/>
    </row>
    <row r="61" spans="1:11" customFormat="1" x14ac:dyDescent="0.3">
      <c r="A61" s="29" t="s">
        <v>88</v>
      </c>
      <c r="B61" s="18" t="s">
        <v>89</v>
      </c>
      <c r="C61" s="17" t="s">
        <v>90</v>
      </c>
      <c r="D61" s="18" t="s">
        <v>83</v>
      </c>
      <c r="E61" s="18">
        <v>6</v>
      </c>
      <c r="F61" s="48">
        <v>1</v>
      </c>
      <c r="G61" s="6">
        <f t="shared" si="1"/>
        <v>0</v>
      </c>
      <c r="H61" s="18"/>
      <c r="I61" s="81"/>
      <c r="J61" s="20"/>
      <c r="K61" s="20"/>
    </row>
    <row r="62" spans="1:11" x14ac:dyDescent="0.3">
      <c r="A62" s="15" t="s">
        <v>91</v>
      </c>
      <c r="B62" s="41" t="s">
        <v>92</v>
      </c>
      <c r="C62" s="17" t="s">
        <v>93</v>
      </c>
      <c r="D62" s="18" t="s">
        <v>83</v>
      </c>
      <c r="E62" s="18">
        <v>0</v>
      </c>
      <c r="F62" s="48">
        <v>1</v>
      </c>
      <c r="G62" s="6">
        <f t="shared" si="1"/>
        <v>1</v>
      </c>
      <c r="H62" s="18"/>
      <c r="I62" s="81"/>
    </row>
    <row r="63" spans="1:11" x14ac:dyDescent="0.3">
      <c r="A63" s="15" t="s">
        <v>94</v>
      </c>
      <c r="B63" s="41" t="s">
        <v>95</v>
      </c>
      <c r="C63" s="17" t="s">
        <v>96</v>
      </c>
      <c r="D63" s="18" t="s">
        <v>83</v>
      </c>
      <c r="E63" s="18">
        <v>18</v>
      </c>
      <c r="F63" s="48">
        <v>10</v>
      </c>
      <c r="G63" s="6">
        <f t="shared" si="1"/>
        <v>0</v>
      </c>
      <c r="H63" s="18"/>
      <c r="I63" s="81"/>
    </row>
    <row r="64" spans="1:11" x14ac:dyDescent="0.3">
      <c r="A64" s="15" t="s">
        <v>313</v>
      </c>
      <c r="B64" s="41" t="s">
        <v>314</v>
      </c>
      <c r="C64" s="17" t="s">
        <v>315</v>
      </c>
      <c r="D64" s="18" t="s">
        <v>313</v>
      </c>
      <c r="E64" s="18">
        <v>6</v>
      </c>
      <c r="F64" s="19">
        <v>0</v>
      </c>
      <c r="G64" s="6">
        <f t="shared" si="1"/>
        <v>0</v>
      </c>
      <c r="H64" s="1"/>
      <c r="I64" s="20"/>
    </row>
    <row r="65" spans="1:11" x14ac:dyDescent="0.3">
      <c r="A65" s="15" t="s">
        <v>97</v>
      </c>
      <c r="B65" s="59" t="s">
        <v>111</v>
      </c>
      <c r="C65" s="17" t="s">
        <v>510</v>
      </c>
      <c r="D65" s="18" t="s">
        <v>101</v>
      </c>
      <c r="E65" s="18">
        <v>28</v>
      </c>
      <c r="F65" s="48">
        <v>6</v>
      </c>
      <c r="G65" s="6">
        <f t="shared" si="1"/>
        <v>0</v>
      </c>
      <c r="H65" s="18"/>
      <c r="I65" s="81"/>
    </row>
    <row r="66" spans="1:11" x14ac:dyDescent="0.3">
      <c r="A66" s="15" t="s">
        <v>97</v>
      </c>
      <c r="B66" s="59" t="s">
        <v>428</v>
      </c>
      <c r="C66" s="17" t="s">
        <v>430</v>
      </c>
      <c r="D66" s="18" t="s">
        <v>101</v>
      </c>
      <c r="E66" s="18">
        <v>2</v>
      </c>
      <c r="F66" s="48">
        <v>2</v>
      </c>
      <c r="G66" s="6">
        <f t="shared" si="1"/>
        <v>0</v>
      </c>
      <c r="H66" s="18"/>
      <c r="I66" s="81"/>
    </row>
    <row r="67" spans="1:11" x14ac:dyDescent="0.3">
      <c r="A67" s="15" t="s">
        <v>97</v>
      </c>
      <c r="B67" s="59" t="s">
        <v>400</v>
      </c>
      <c r="C67" s="17" t="s">
        <v>429</v>
      </c>
      <c r="D67" s="18" t="s">
        <v>101</v>
      </c>
      <c r="E67" s="18">
        <v>8</v>
      </c>
      <c r="F67" s="48">
        <v>6</v>
      </c>
      <c r="G67" s="6">
        <f t="shared" si="1"/>
        <v>0</v>
      </c>
      <c r="H67" s="18"/>
      <c r="I67" s="81"/>
    </row>
    <row r="68" spans="1:11" x14ac:dyDescent="0.3">
      <c r="A68" s="15" t="s">
        <v>97</v>
      </c>
      <c r="B68" s="59" t="s">
        <v>410</v>
      </c>
      <c r="C68" s="17" t="s">
        <v>432</v>
      </c>
      <c r="D68" s="18" t="s">
        <v>101</v>
      </c>
      <c r="E68" s="18">
        <v>32</v>
      </c>
      <c r="F68" s="48">
        <v>6</v>
      </c>
      <c r="G68" s="6">
        <f t="shared" si="1"/>
        <v>0</v>
      </c>
      <c r="H68" s="18"/>
      <c r="I68" s="81"/>
    </row>
    <row r="69" spans="1:11" x14ac:dyDescent="0.3">
      <c r="A69" s="15" t="s">
        <v>97</v>
      </c>
      <c r="B69" s="59" t="s">
        <v>492</v>
      </c>
      <c r="C69" s="17" t="s">
        <v>493</v>
      </c>
      <c r="D69" s="18" t="s">
        <v>101</v>
      </c>
      <c r="E69" s="18">
        <v>3</v>
      </c>
      <c r="F69" s="48">
        <v>2</v>
      </c>
      <c r="G69" s="6">
        <f t="shared" si="1"/>
        <v>0</v>
      </c>
      <c r="I69" s="81"/>
    </row>
    <row r="70" spans="1:11" x14ac:dyDescent="0.3">
      <c r="A70" s="15" t="s">
        <v>97</v>
      </c>
      <c r="B70" s="59" t="s">
        <v>527</v>
      </c>
      <c r="C70" s="17" t="s">
        <v>528</v>
      </c>
      <c r="D70" s="18" t="s">
        <v>101</v>
      </c>
      <c r="E70" s="18">
        <v>2</v>
      </c>
      <c r="F70" s="48">
        <v>1</v>
      </c>
      <c r="G70" s="6">
        <f t="shared" si="1"/>
        <v>0</v>
      </c>
      <c r="I70" s="81"/>
    </row>
    <row r="71" spans="1:11" x14ac:dyDescent="0.3">
      <c r="A71" s="15" t="s">
        <v>97</v>
      </c>
      <c r="B71" s="59" t="s">
        <v>117</v>
      </c>
      <c r="C71" s="17" t="s">
        <v>491</v>
      </c>
      <c r="D71" s="18" t="s">
        <v>101</v>
      </c>
      <c r="E71" s="18">
        <v>11</v>
      </c>
      <c r="F71" s="48">
        <v>2</v>
      </c>
      <c r="G71" s="6">
        <f t="shared" si="1"/>
        <v>0</v>
      </c>
      <c r="H71" s="18"/>
      <c r="I71" s="81"/>
    </row>
    <row r="72" spans="1:11" x14ac:dyDescent="0.3">
      <c r="A72" s="15" t="s">
        <v>97</v>
      </c>
      <c r="B72" s="59" t="s">
        <v>114</v>
      </c>
      <c r="C72" s="17" t="s">
        <v>515</v>
      </c>
      <c r="D72" s="18" t="s">
        <v>101</v>
      </c>
      <c r="E72" s="18">
        <v>2</v>
      </c>
      <c r="F72" s="48">
        <v>2</v>
      </c>
      <c r="G72" s="6">
        <f t="shared" si="1"/>
        <v>0</v>
      </c>
      <c r="H72" s="18"/>
      <c r="I72" s="81"/>
    </row>
    <row r="73" spans="1:11" x14ac:dyDescent="0.3">
      <c r="A73" s="15" t="s">
        <v>97</v>
      </c>
      <c r="B73" s="59" t="s">
        <v>112</v>
      </c>
      <c r="C73" s="17" t="s">
        <v>113</v>
      </c>
      <c r="D73" s="18" t="s">
        <v>101</v>
      </c>
      <c r="E73" s="18">
        <v>5</v>
      </c>
      <c r="F73" s="48">
        <v>2</v>
      </c>
      <c r="G73" s="6">
        <f t="shared" si="1"/>
        <v>0</v>
      </c>
      <c r="H73" s="18"/>
      <c r="I73" s="81"/>
    </row>
    <row r="74" spans="1:11" x14ac:dyDescent="0.3">
      <c r="A74" s="15" t="s">
        <v>97</v>
      </c>
      <c r="B74" s="59" t="s">
        <v>106</v>
      </c>
      <c r="C74" s="17" t="s">
        <v>107</v>
      </c>
      <c r="D74" s="18" t="s">
        <v>101</v>
      </c>
      <c r="E74" s="18">
        <v>10</v>
      </c>
      <c r="F74" s="48">
        <v>2</v>
      </c>
      <c r="G74" s="6">
        <f t="shared" si="1"/>
        <v>0</v>
      </c>
      <c r="H74" s="15"/>
      <c r="I74" s="81"/>
    </row>
    <row r="75" spans="1:11" x14ac:dyDescent="0.3">
      <c r="A75" s="15" t="s">
        <v>97</v>
      </c>
      <c r="B75" s="60" t="s">
        <v>104</v>
      </c>
      <c r="C75" s="17" t="s">
        <v>105</v>
      </c>
      <c r="D75" s="18" t="s">
        <v>101</v>
      </c>
      <c r="E75" s="18">
        <v>1</v>
      </c>
      <c r="F75" s="48">
        <v>2</v>
      </c>
      <c r="G75" s="6">
        <f t="shared" si="1"/>
        <v>1</v>
      </c>
      <c r="H75" s="18"/>
      <c r="I75" s="81"/>
    </row>
    <row r="76" spans="1:11" x14ac:dyDescent="0.3">
      <c r="A76" s="15" t="s">
        <v>97</v>
      </c>
      <c r="B76" s="59" t="s">
        <v>424</v>
      </c>
      <c r="C76" s="17" t="s">
        <v>425</v>
      </c>
      <c r="D76" s="18" t="s">
        <v>101</v>
      </c>
      <c r="E76" s="18">
        <v>2</v>
      </c>
      <c r="F76" s="48">
        <v>2</v>
      </c>
      <c r="G76" s="6">
        <f t="shared" si="1"/>
        <v>0</v>
      </c>
      <c r="I76" s="81"/>
    </row>
    <row r="77" spans="1:11" x14ac:dyDescent="0.3">
      <c r="A77" s="15" t="s">
        <v>97</v>
      </c>
      <c r="B77" s="59" t="s">
        <v>426</v>
      </c>
      <c r="C77" s="17" t="s">
        <v>427</v>
      </c>
      <c r="D77" s="18" t="s">
        <v>101</v>
      </c>
      <c r="E77" s="18">
        <v>0</v>
      </c>
      <c r="F77" s="48">
        <v>2</v>
      </c>
      <c r="G77" s="6">
        <f t="shared" si="1"/>
        <v>2</v>
      </c>
      <c r="H77" s="18"/>
      <c r="I77" s="82"/>
      <c r="J77" s="9"/>
      <c r="K77" s="9"/>
    </row>
    <row r="78" spans="1:11" s="38" customFormat="1" x14ac:dyDescent="0.3">
      <c r="A78" s="15" t="s">
        <v>97</v>
      </c>
      <c r="B78" s="59" t="s">
        <v>110</v>
      </c>
      <c r="C78" s="17" t="s">
        <v>423</v>
      </c>
      <c r="D78" s="18" t="s">
        <v>101</v>
      </c>
      <c r="E78" s="18">
        <v>4</v>
      </c>
      <c r="F78" s="48">
        <v>2</v>
      </c>
      <c r="G78" s="6">
        <f t="shared" si="1"/>
        <v>0</v>
      </c>
      <c r="H78" s="18"/>
      <c r="I78" s="81"/>
      <c r="J78" s="20"/>
      <c r="K78" s="20"/>
    </row>
    <row r="79" spans="1:11" x14ac:dyDescent="0.3">
      <c r="A79" s="15" t="s">
        <v>97</v>
      </c>
      <c r="B79" s="60" t="s">
        <v>529</v>
      </c>
      <c r="C79" s="17" t="s">
        <v>530</v>
      </c>
      <c r="D79" s="18" t="s">
        <v>101</v>
      </c>
      <c r="E79" s="18">
        <v>13</v>
      </c>
      <c r="F79" s="48">
        <v>1</v>
      </c>
      <c r="G79" s="6">
        <f t="shared" si="1"/>
        <v>0</v>
      </c>
      <c r="H79" s="18"/>
      <c r="I79" s="83"/>
      <c r="J79" s="38"/>
      <c r="K79" s="38"/>
    </row>
    <row r="80" spans="1:11" x14ac:dyDescent="0.3">
      <c r="A80" s="15" t="s">
        <v>97</v>
      </c>
      <c r="B80" s="59" t="s">
        <v>525</v>
      </c>
      <c r="C80" s="17" t="s">
        <v>526</v>
      </c>
      <c r="D80" s="18" t="s">
        <v>101</v>
      </c>
      <c r="E80" s="18">
        <v>11</v>
      </c>
      <c r="F80" s="48">
        <v>1</v>
      </c>
      <c r="G80" s="6">
        <f t="shared" si="1"/>
        <v>0</v>
      </c>
      <c r="H80" s="18"/>
      <c r="I80" s="81"/>
    </row>
    <row r="81" spans="1:11" x14ac:dyDescent="0.3">
      <c r="A81" s="15" t="s">
        <v>97</v>
      </c>
      <c r="B81" s="70" t="s">
        <v>534</v>
      </c>
      <c r="C81" s="21" t="s">
        <v>535</v>
      </c>
      <c r="D81" s="15" t="s">
        <v>101</v>
      </c>
      <c r="E81" s="15">
        <v>2</v>
      </c>
      <c r="F81" s="49">
        <v>2</v>
      </c>
      <c r="G81" s="10">
        <f t="shared" si="1"/>
        <v>0</v>
      </c>
      <c r="H81" s="18"/>
      <c r="I81" s="84"/>
      <c r="J81"/>
      <c r="K81"/>
    </row>
    <row r="82" spans="1:11" x14ac:dyDescent="0.3">
      <c r="A82" s="15" t="s">
        <v>97</v>
      </c>
      <c r="B82" s="60" t="s">
        <v>536</v>
      </c>
      <c r="C82" s="17" t="s">
        <v>537</v>
      </c>
      <c r="D82" s="15" t="s">
        <v>101</v>
      </c>
      <c r="E82" s="18">
        <v>2</v>
      </c>
      <c r="F82" s="48">
        <v>2</v>
      </c>
      <c r="G82" s="6">
        <f t="shared" si="1"/>
        <v>0</v>
      </c>
      <c r="H82" s="18"/>
    </row>
    <row r="83" spans="1:11" x14ac:dyDescent="0.3">
      <c r="A83" s="15" t="s">
        <v>97</v>
      </c>
      <c r="B83" s="60" t="s">
        <v>487</v>
      </c>
      <c r="C83" s="17" t="s">
        <v>488</v>
      </c>
      <c r="D83" s="18" t="s">
        <v>101</v>
      </c>
      <c r="E83" s="18">
        <v>4</v>
      </c>
      <c r="F83" s="48">
        <v>1</v>
      </c>
      <c r="G83" s="6">
        <f t="shared" si="1"/>
        <v>0</v>
      </c>
      <c r="H83" s="18"/>
    </row>
    <row r="84" spans="1:11" x14ac:dyDescent="0.3">
      <c r="A84" s="15" t="s">
        <v>97</v>
      </c>
      <c r="B84" s="60" t="s">
        <v>489</v>
      </c>
      <c r="C84" s="17" t="s">
        <v>490</v>
      </c>
      <c r="D84" s="18" t="s">
        <v>101</v>
      </c>
      <c r="E84" s="18">
        <v>1</v>
      </c>
      <c r="F84" s="48">
        <v>1</v>
      </c>
      <c r="G84" s="6">
        <f t="shared" si="1"/>
        <v>0</v>
      </c>
      <c r="H84" s="18"/>
    </row>
    <row r="85" spans="1:11" x14ac:dyDescent="0.3">
      <c r="A85" s="15" t="s">
        <v>97</v>
      </c>
      <c r="B85" s="60" t="s">
        <v>108</v>
      </c>
      <c r="C85" s="17" t="s">
        <v>385</v>
      </c>
      <c r="D85" s="18" t="s">
        <v>101</v>
      </c>
      <c r="E85" s="18">
        <v>0</v>
      </c>
      <c r="F85" s="48">
        <v>2</v>
      </c>
      <c r="G85" s="6">
        <f t="shared" si="1"/>
        <v>2</v>
      </c>
      <c r="H85" s="18"/>
    </row>
    <row r="86" spans="1:11" x14ac:dyDescent="0.3">
      <c r="A86" s="15" t="s">
        <v>97</v>
      </c>
      <c r="B86" s="60" t="s">
        <v>109</v>
      </c>
      <c r="C86" s="17" t="s">
        <v>386</v>
      </c>
      <c r="D86" s="18" t="s">
        <v>101</v>
      </c>
      <c r="E86" s="18">
        <v>4</v>
      </c>
      <c r="F86" s="48">
        <v>2</v>
      </c>
      <c r="G86" s="6">
        <f t="shared" si="1"/>
        <v>0</v>
      </c>
      <c r="H86" s="18"/>
    </row>
    <row r="87" spans="1:11" x14ac:dyDescent="0.3">
      <c r="A87" s="15" t="s">
        <v>97</v>
      </c>
      <c r="B87" s="60" t="s">
        <v>485</v>
      </c>
      <c r="C87" s="17" t="s">
        <v>486</v>
      </c>
      <c r="D87" s="18" t="s">
        <v>101</v>
      </c>
      <c r="E87" s="18">
        <v>1</v>
      </c>
      <c r="F87" s="48">
        <v>1</v>
      </c>
      <c r="G87" s="6">
        <f t="shared" si="1"/>
        <v>0</v>
      </c>
      <c r="H87" s="18"/>
    </row>
    <row r="88" spans="1:11" x14ac:dyDescent="0.3">
      <c r="A88" s="15" t="s">
        <v>97</v>
      </c>
      <c r="B88" s="60" t="s">
        <v>533</v>
      </c>
      <c r="C88" s="17" t="s">
        <v>516</v>
      </c>
      <c r="D88" s="18" t="s">
        <v>101</v>
      </c>
      <c r="E88" s="18">
        <v>8</v>
      </c>
      <c r="F88" s="48">
        <v>2</v>
      </c>
      <c r="G88" s="6">
        <f t="shared" si="1"/>
        <v>0</v>
      </c>
      <c r="H88" s="18"/>
    </row>
    <row r="89" spans="1:11" x14ac:dyDescent="0.3">
      <c r="A89" s="15" t="s">
        <v>97</v>
      </c>
      <c r="B89" s="23" t="s">
        <v>532</v>
      </c>
      <c r="C89" s="17" t="s">
        <v>98</v>
      </c>
      <c r="D89" s="18" t="s">
        <v>101</v>
      </c>
      <c r="E89" s="18">
        <v>11</v>
      </c>
      <c r="F89" s="48">
        <v>2</v>
      </c>
      <c r="G89" s="1">
        <f t="shared" si="1"/>
        <v>0</v>
      </c>
      <c r="H89" s="41"/>
    </row>
    <row r="90" spans="1:11" customFormat="1" x14ac:dyDescent="0.3">
      <c r="A90" s="63" t="s">
        <v>97</v>
      </c>
      <c r="B90" s="91" t="s">
        <v>538</v>
      </c>
      <c r="C90" s="31" t="s">
        <v>539</v>
      </c>
      <c r="D90" s="36" t="s">
        <v>101</v>
      </c>
      <c r="E90" s="88">
        <v>1</v>
      </c>
      <c r="F90" s="97">
        <v>1</v>
      </c>
      <c r="G90" s="89">
        <f t="shared" si="1"/>
        <v>0</v>
      </c>
      <c r="H90" s="18"/>
      <c r="I90" s="79"/>
      <c r="J90" s="20"/>
      <c r="K90" s="20"/>
    </row>
    <row r="91" spans="1:11" customFormat="1" x14ac:dyDescent="0.3">
      <c r="A91" s="15" t="s">
        <v>97</v>
      </c>
      <c r="B91" s="86" t="s">
        <v>102</v>
      </c>
      <c r="C91" s="21" t="s">
        <v>103</v>
      </c>
      <c r="D91" s="15" t="s">
        <v>101</v>
      </c>
      <c r="E91" s="15">
        <v>100</v>
      </c>
      <c r="F91" s="49">
        <v>50</v>
      </c>
      <c r="G91" s="10">
        <f t="shared" si="1"/>
        <v>0</v>
      </c>
      <c r="H91" s="18"/>
      <c r="I91" s="79"/>
      <c r="J91" s="20"/>
      <c r="K91" s="20"/>
    </row>
    <row r="92" spans="1:11" customFormat="1" x14ac:dyDescent="0.3">
      <c r="A92" s="26" t="s">
        <v>97</v>
      </c>
      <c r="B92" s="96" t="s">
        <v>99</v>
      </c>
      <c r="C92" s="74" t="s">
        <v>100</v>
      </c>
      <c r="D92" s="26" t="s">
        <v>101</v>
      </c>
      <c r="E92" s="26">
        <v>100</v>
      </c>
      <c r="F92" s="98">
        <v>50</v>
      </c>
      <c r="G92" s="100">
        <f t="shared" si="1"/>
        <v>0</v>
      </c>
      <c r="H92" s="27"/>
      <c r="I92" s="79"/>
      <c r="J92" s="20"/>
      <c r="K92" s="20"/>
    </row>
    <row r="93" spans="1:11" x14ac:dyDescent="0.3">
      <c r="A93" s="15" t="s">
        <v>97</v>
      </c>
      <c r="B93" s="92" t="s">
        <v>115</v>
      </c>
      <c r="C93" s="21" t="s">
        <v>116</v>
      </c>
      <c r="D93" s="15" t="s">
        <v>101</v>
      </c>
      <c r="E93" s="15">
        <v>4</v>
      </c>
      <c r="F93" s="49">
        <v>2</v>
      </c>
      <c r="G93" s="4">
        <f t="shared" si="1"/>
        <v>0</v>
      </c>
      <c r="H93" s="18"/>
      <c r="I93" s="81"/>
    </row>
    <row r="94" spans="1:11" x14ac:dyDescent="0.3">
      <c r="A94" s="15" t="s">
        <v>97</v>
      </c>
      <c r="B94" s="23" t="s">
        <v>542</v>
      </c>
      <c r="C94" s="17" t="s">
        <v>543</v>
      </c>
      <c r="D94" s="18" t="s">
        <v>101</v>
      </c>
      <c r="E94" s="24">
        <v>1</v>
      </c>
      <c r="F94" s="25">
        <v>1</v>
      </c>
      <c r="G94" s="69">
        <f t="shared" si="1"/>
        <v>0</v>
      </c>
      <c r="H94" s="18"/>
      <c r="I94" s="81"/>
    </row>
    <row r="95" spans="1:11" x14ac:dyDescent="0.3">
      <c r="A95" s="15" t="s">
        <v>97</v>
      </c>
      <c r="B95" s="92" t="s">
        <v>483</v>
      </c>
      <c r="C95" s="66" t="s">
        <v>484</v>
      </c>
      <c r="D95" s="15" t="s">
        <v>101</v>
      </c>
      <c r="E95" s="15">
        <v>1</v>
      </c>
      <c r="F95" s="49">
        <v>1</v>
      </c>
      <c r="G95" s="4">
        <f t="shared" si="1"/>
        <v>0</v>
      </c>
      <c r="H95" s="18"/>
      <c r="I95" s="81"/>
    </row>
    <row r="96" spans="1:11" x14ac:dyDescent="0.3">
      <c r="A96" s="15" t="s">
        <v>97</v>
      </c>
      <c r="B96" s="23" t="s">
        <v>540</v>
      </c>
      <c r="C96" s="17" t="s">
        <v>541</v>
      </c>
      <c r="D96" s="18" t="s">
        <v>101</v>
      </c>
      <c r="E96" s="24">
        <v>1</v>
      </c>
      <c r="F96" s="25">
        <v>1</v>
      </c>
      <c r="G96" s="69">
        <f t="shared" si="1"/>
        <v>0</v>
      </c>
      <c r="H96" s="18"/>
      <c r="I96" s="81"/>
    </row>
    <row r="97" spans="1:11" x14ac:dyDescent="0.3">
      <c r="A97" s="15" t="s">
        <v>118</v>
      </c>
      <c r="B97" s="18" t="s">
        <v>119</v>
      </c>
      <c r="C97" s="17" t="s">
        <v>120</v>
      </c>
      <c r="D97" s="18" t="s">
        <v>101</v>
      </c>
      <c r="E97" s="24">
        <v>0</v>
      </c>
      <c r="F97" s="25">
        <v>0</v>
      </c>
      <c r="G97" s="69">
        <f t="shared" si="1"/>
        <v>0</v>
      </c>
      <c r="H97" s="1"/>
      <c r="I97" s="5"/>
      <c r="J97"/>
      <c r="K97"/>
    </row>
    <row r="98" spans="1:11" x14ac:dyDescent="0.3">
      <c r="A98" s="15" t="s">
        <v>118</v>
      </c>
      <c r="B98" s="18" t="s">
        <v>121</v>
      </c>
      <c r="C98" s="17" t="s">
        <v>122</v>
      </c>
      <c r="D98" s="18" t="s">
        <v>101</v>
      </c>
      <c r="E98" s="24">
        <v>0</v>
      </c>
      <c r="F98" s="25">
        <v>0</v>
      </c>
      <c r="G98" s="69">
        <f t="shared" si="1"/>
        <v>0</v>
      </c>
      <c r="H98" s="1"/>
      <c r="I98" s="20"/>
    </row>
    <row r="99" spans="1:11" x14ac:dyDescent="0.3">
      <c r="A99" s="15" t="s">
        <v>118</v>
      </c>
      <c r="B99" s="18" t="s">
        <v>123</v>
      </c>
      <c r="C99" s="17" t="s">
        <v>124</v>
      </c>
      <c r="D99" s="18" t="s">
        <v>101</v>
      </c>
      <c r="E99" s="24">
        <v>0</v>
      </c>
      <c r="F99" s="25">
        <v>0</v>
      </c>
      <c r="G99" s="69">
        <f t="shared" si="1"/>
        <v>0</v>
      </c>
      <c r="H99" s="1"/>
      <c r="I99" s="20"/>
    </row>
    <row r="100" spans="1:11" x14ac:dyDescent="0.3">
      <c r="A100" s="15" t="s">
        <v>348</v>
      </c>
      <c r="B100" s="16">
        <v>39934</v>
      </c>
      <c r="C100" s="17" t="s">
        <v>495</v>
      </c>
      <c r="D100" s="18" t="s">
        <v>101</v>
      </c>
      <c r="E100" s="18">
        <v>10</v>
      </c>
      <c r="F100" s="48">
        <v>5</v>
      </c>
      <c r="G100" s="4">
        <f t="shared" si="1"/>
        <v>0</v>
      </c>
      <c r="H100" s="18"/>
      <c r="I100" s="81"/>
    </row>
    <row r="101" spans="1:11" x14ac:dyDescent="0.3">
      <c r="A101" s="63" t="s">
        <v>348</v>
      </c>
      <c r="B101" s="93">
        <v>41204</v>
      </c>
      <c r="C101" s="31" t="s">
        <v>496</v>
      </c>
      <c r="D101" s="36" t="s">
        <v>101</v>
      </c>
      <c r="E101" s="36">
        <v>10</v>
      </c>
      <c r="F101" s="68">
        <v>5</v>
      </c>
      <c r="G101" s="99">
        <f t="shared" si="1"/>
        <v>0</v>
      </c>
      <c r="H101" s="36"/>
      <c r="I101" s="81"/>
    </row>
    <row r="102" spans="1:11" x14ac:dyDescent="0.3">
      <c r="A102" s="15" t="s">
        <v>348</v>
      </c>
      <c r="B102" s="58">
        <v>41205</v>
      </c>
      <c r="C102" s="17" t="s">
        <v>499</v>
      </c>
      <c r="D102" s="18" t="s">
        <v>101</v>
      </c>
      <c r="E102" s="18">
        <v>10</v>
      </c>
      <c r="F102" s="48">
        <v>5</v>
      </c>
      <c r="G102" s="10">
        <f t="shared" si="1"/>
        <v>0</v>
      </c>
      <c r="H102" s="18"/>
      <c r="I102" s="81"/>
    </row>
    <row r="103" spans="1:11" x14ac:dyDescent="0.3">
      <c r="A103" s="15" t="s">
        <v>348</v>
      </c>
      <c r="B103" s="58">
        <v>41207</v>
      </c>
      <c r="C103" s="17" t="s">
        <v>498</v>
      </c>
      <c r="D103" s="18" t="s">
        <v>101</v>
      </c>
      <c r="E103" s="18">
        <v>10</v>
      </c>
      <c r="F103" s="48">
        <v>5</v>
      </c>
      <c r="G103" s="10">
        <f t="shared" si="1"/>
        <v>0</v>
      </c>
      <c r="H103" s="18"/>
      <c r="I103" s="81"/>
    </row>
    <row r="104" spans="1:11" x14ac:dyDescent="0.3">
      <c r="A104" s="15" t="s">
        <v>348</v>
      </c>
      <c r="B104" s="58">
        <v>41208</v>
      </c>
      <c r="C104" s="17" t="s">
        <v>494</v>
      </c>
      <c r="D104" s="18" t="s">
        <v>101</v>
      </c>
      <c r="E104" s="18">
        <v>10</v>
      </c>
      <c r="F104" s="48">
        <v>5</v>
      </c>
      <c r="G104" s="10">
        <f t="shared" si="1"/>
        <v>0</v>
      </c>
      <c r="H104" s="18"/>
      <c r="I104" s="81"/>
    </row>
    <row r="105" spans="1:11" x14ac:dyDescent="0.3">
      <c r="A105" s="15" t="s">
        <v>348</v>
      </c>
      <c r="B105" s="58">
        <v>41211</v>
      </c>
      <c r="C105" s="17" t="s">
        <v>500</v>
      </c>
      <c r="D105" s="18" t="s">
        <v>101</v>
      </c>
      <c r="E105" s="18">
        <v>10</v>
      </c>
      <c r="F105" s="48">
        <v>5</v>
      </c>
      <c r="G105" s="10">
        <f t="shared" si="1"/>
        <v>0</v>
      </c>
      <c r="H105" s="24"/>
      <c r="I105" s="81"/>
    </row>
    <row r="106" spans="1:11" x14ac:dyDescent="0.3">
      <c r="A106" s="15" t="s">
        <v>348</v>
      </c>
      <c r="B106" s="58">
        <v>41212</v>
      </c>
      <c r="C106" s="17" t="s">
        <v>497</v>
      </c>
      <c r="D106" s="18" t="s">
        <v>101</v>
      </c>
      <c r="E106" s="18">
        <v>10</v>
      </c>
      <c r="F106" s="48">
        <v>5</v>
      </c>
      <c r="G106" s="10">
        <f t="shared" si="1"/>
        <v>0</v>
      </c>
      <c r="H106" s="18"/>
      <c r="I106" s="81"/>
    </row>
    <row r="107" spans="1:11" x14ac:dyDescent="0.3">
      <c r="A107" s="15" t="s">
        <v>348</v>
      </c>
      <c r="B107" s="58">
        <v>41251</v>
      </c>
      <c r="C107" s="17" t="s">
        <v>501</v>
      </c>
      <c r="D107" s="18" t="s">
        <v>101</v>
      </c>
      <c r="E107" s="18">
        <v>10</v>
      </c>
      <c r="F107" s="48">
        <v>5</v>
      </c>
      <c r="G107" s="10">
        <f t="shared" si="1"/>
        <v>0</v>
      </c>
      <c r="H107" s="18"/>
      <c r="I107" s="81"/>
    </row>
    <row r="108" spans="1:11" x14ac:dyDescent="0.3">
      <c r="A108" s="15" t="s">
        <v>348</v>
      </c>
      <c r="B108" s="58">
        <v>51522</v>
      </c>
      <c r="C108" s="17" t="s">
        <v>502</v>
      </c>
      <c r="D108" s="18" t="s">
        <v>101</v>
      </c>
      <c r="E108" s="24">
        <v>10</v>
      </c>
      <c r="F108" s="25">
        <v>5</v>
      </c>
      <c r="G108" s="7">
        <f t="shared" si="1"/>
        <v>0</v>
      </c>
      <c r="H108" s="18"/>
      <c r="I108" s="81"/>
    </row>
    <row r="109" spans="1:11" x14ac:dyDescent="0.3">
      <c r="A109" s="15" t="s">
        <v>348</v>
      </c>
      <c r="B109" s="58">
        <v>55247</v>
      </c>
      <c r="C109" s="17" t="s">
        <v>340</v>
      </c>
      <c r="D109" s="18" t="s">
        <v>101</v>
      </c>
      <c r="E109" s="18">
        <v>10</v>
      </c>
      <c r="F109" s="48">
        <v>5</v>
      </c>
      <c r="G109" s="10">
        <f t="shared" si="1"/>
        <v>0</v>
      </c>
      <c r="H109" s="24"/>
      <c r="I109" s="81"/>
    </row>
    <row r="110" spans="1:11" x14ac:dyDescent="0.3">
      <c r="A110" s="15" t="s">
        <v>125</v>
      </c>
      <c r="B110" s="58" t="s">
        <v>549</v>
      </c>
      <c r="C110" s="17" t="s">
        <v>550</v>
      </c>
      <c r="D110" s="18" t="s">
        <v>125</v>
      </c>
      <c r="E110" s="18">
        <v>0</v>
      </c>
      <c r="F110" s="48">
        <v>5</v>
      </c>
      <c r="G110" s="10">
        <f t="shared" si="1"/>
        <v>5</v>
      </c>
      <c r="H110" s="18"/>
    </row>
    <row r="111" spans="1:11" s="38" customFormat="1" x14ac:dyDescent="0.3">
      <c r="A111" s="15" t="s">
        <v>125</v>
      </c>
      <c r="B111" s="41" t="s">
        <v>320</v>
      </c>
      <c r="C111" s="17" t="s">
        <v>551</v>
      </c>
      <c r="D111" s="18" t="s">
        <v>125</v>
      </c>
      <c r="E111" s="18">
        <v>5</v>
      </c>
      <c r="F111" s="48">
        <v>4</v>
      </c>
      <c r="G111" s="10">
        <f t="shared" si="1"/>
        <v>0</v>
      </c>
      <c r="H111" s="18"/>
      <c r="I111" s="79"/>
      <c r="J111" s="20"/>
      <c r="K111" s="20"/>
    </row>
    <row r="112" spans="1:11" s="38" customFormat="1" x14ac:dyDescent="0.3">
      <c r="A112" s="15" t="s">
        <v>125</v>
      </c>
      <c r="B112" s="41" t="s">
        <v>321</v>
      </c>
      <c r="C112" s="17" t="s">
        <v>322</v>
      </c>
      <c r="D112" s="18" t="s">
        <v>125</v>
      </c>
      <c r="E112" s="18">
        <v>2</v>
      </c>
      <c r="F112" s="48">
        <v>4</v>
      </c>
      <c r="G112" s="6">
        <f t="shared" si="1"/>
        <v>2</v>
      </c>
      <c r="H112" s="18"/>
      <c r="I112" s="79"/>
      <c r="J112" s="20"/>
      <c r="K112" s="20"/>
    </row>
    <row r="113" spans="1:11" s="38" customFormat="1" x14ac:dyDescent="0.3">
      <c r="A113" s="15" t="s">
        <v>125</v>
      </c>
      <c r="B113" s="41" t="s">
        <v>481</v>
      </c>
      <c r="C113" s="17" t="s">
        <v>482</v>
      </c>
      <c r="D113" s="18" t="s">
        <v>125</v>
      </c>
      <c r="E113" s="18">
        <v>1</v>
      </c>
      <c r="F113" s="48">
        <v>1</v>
      </c>
      <c r="G113" s="10">
        <f t="shared" si="1"/>
        <v>0</v>
      </c>
      <c r="H113" s="37"/>
      <c r="I113" s="79"/>
      <c r="J113" s="20"/>
      <c r="K113" s="20"/>
    </row>
    <row r="114" spans="1:11" x14ac:dyDescent="0.3">
      <c r="A114" s="15" t="s">
        <v>125</v>
      </c>
      <c r="B114" s="41" t="s">
        <v>327</v>
      </c>
      <c r="C114" s="17" t="s">
        <v>328</v>
      </c>
      <c r="D114" s="18" t="s">
        <v>125</v>
      </c>
      <c r="E114" s="18">
        <v>8</v>
      </c>
      <c r="F114" s="48">
        <v>2</v>
      </c>
      <c r="G114" s="6">
        <f t="shared" ref="G114:G177" si="2">IF(E114&gt;F114,0,IF(F114-E114&gt;F114,0,F114-E114))</f>
        <v>0</v>
      </c>
    </row>
    <row r="115" spans="1:11" x14ac:dyDescent="0.3">
      <c r="A115" s="26" t="s">
        <v>125</v>
      </c>
      <c r="B115" s="41" t="s">
        <v>138</v>
      </c>
      <c r="C115" s="17" t="s">
        <v>139</v>
      </c>
      <c r="D115" s="18" t="s">
        <v>125</v>
      </c>
      <c r="E115" s="18">
        <v>3</v>
      </c>
      <c r="F115" s="48">
        <v>2</v>
      </c>
      <c r="G115" s="6">
        <f t="shared" si="2"/>
        <v>0</v>
      </c>
      <c r="H115" s="1"/>
    </row>
    <row r="116" spans="1:11" customFormat="1" x14ac:dyDescent="0.3">
      <c r="A116" s="15" t="s">
        <v>125</v>
      </c>
      <c r="B116" s="41" t="s">
        <v>136</v>
      </c>
      <c r="C116" s="17" t="s">
        <v>137</v>
      </c>
      <c r="D116" s="18" t="s">
        <v>125</v>
      </c>
      <c r="E116" s="18">
        <v>3</v>
      </c>
      <c r="F116" s="48">
        <v>2</v>
      </c>
      <c r="G116" s="6">
        <f t="shared" si="2"/>
        <v>0</v>
      </c>
      <c r="H116" s="18"/>
      <c r="I116" s="79"/>
      <c r="J116" s="20"/>
      <c r="K116" s="20"/>
    </row>
    <row r="117" spans="1:11" x14ac:dyDescent="0.3">
      <c r="A117" s="29" t="s">
        <v>125</v>
      </c>
      <c r="B117" s="41" t="s">
        <v>134</v>
      </c>
      <c r="C117" s="17" t="s">
        <v>135</v>
      </c>
      <c r="D117" s="18" t="s">
        <v>125</v>
      </c>
      <c r="E117" s="18">
        <v>3</v>
      </c>
      <c r="F117" s="19">
        <v>0</v>
      </c>
      <c r="G117" s="6">
        <f t="shared" si="2"/>
        <v>0</v>
      </c>
      <c r="H117" s="1"/>
      <c r="I117" s="20"/>
    </row>
    <row r="118" spans="1:11" customFormat="1" x14ac:dyDescent="0.3">
      <c r="A118" s="15" t="s">
        <v>125</v>
      </c>
      <c r="B118" s="41" t="s">
        <v>132</v>
      </c>
      <c r="C118" s="17" t="s">
        <v>133</v>
      </c>
      <c r="D118" s="18" t="s">
        <v>125</v>
      </c>
      <c r="E118" s="18">
        <v>1</v>
      </c>
      <c r="F118" s="48">
        <v>2</v>
      </c>
      <c r="G118" s="6">
        <f t="shared" si="2"/>
        <v>1</v>
      </c>
      <c r="H118" s="18"/>
      <c r="I118" s="81"/>
      <c r="J118" s="20"/>
      <c r="K118" s="20"/>
    </row>
    <row r="119" spans="1:11" x14ac:dyDescent="0.3">
      <c r="A119" s="29" t="s">
        <v>125</v>
      </c>
      <c r="B119" s="33" t="s">
        <v>130</v>
      </c>
      <c r="C119" s="21" t="s">
        <v>131</v>
      </c>
      <c r="D119" s="15" t="s">
        <v>125</v>
      </c>
      <c r="E119" s="15">
        <v>3</v>
      </c>
      <c r="F119" s="22">
        <v>0</v>
      </c>
      <c r="G119" s="10">
        <f t="shared" si="2"/>
        <v>0</v>
      </c>
      <c r="H119" s="4"/>
      <c r="I119" s="20"/>
    </row>
    <row r="120" spans="1:11" customFormat="1" x14ac:dyDescent="0.3">
      <c r="A120" s="15" t="s">
        <v>125</v>
      </c>
      <c r="B120" s="41" t="s">
        <v>128</v>
      </c>
      <c r="C120" s="17" t="s">
        <v>129</v>
      </c>
      <c r="D120" s="18" t="s">
        <v>125</v>
      </c>
      <c r="E120" s="18">
        <v>2</v>
      </c>
      <c r="F120" s="48">
        <v>1</v>
      </c>
      <c r="G120" s="6">
        <f t="shared" si="2"/>
        <v>0</v>
      </c>
      <c r="H120" s="37"/>
      <c r="I120" s="81"/>
      <c r="J120" s="20"/>
      <c r="K120" s="20"/>
    </row>
    <row r="121" spans="1:11" x14ac:dyDescent="0.3">
      <c r="A121" s="63" t="s">
        <v>125</v>
      </c>
      <c r="B121" s="33" t="s">
        <v>126</v>
      </c>
      <c r="C121" s="21" t="s">
        <v>127</v>
      </c>
      <c r="D121" s="15" t="s">
        <v>125</v>
      </c>
      <c r="E121" s="15">
        <v>2</v>
      </c>
      <c r="F121" s="22">
        <v>0</v>
      </c>
      <c r="G121" s="10">
        <f t="shared" si="2"/>
        <v>0</v>
      </c>
      <c r="H121" s="4"/>
      <c r="I121" s="20"/>
    </row>
    <row r="122" spans="1:11" customFormat="1" x14ac:dyDescent="0.3">
      <c r="A122" s="15" t="s">
        <v>140</v>
      </c>
      <c r="B122" s="23" t="s">
        <v>141</v>
      </c>
      <c r="C122" s="17" t="s">
        <v>142</v>
      </c>
      <c r="D122" s="18" t="s">
        <v>101</v>
      </c>
      <c r="E122" s="18">
        <v>9</v>
      </c>
      <c r="F122" s="48">
        <v>5</v>
      </c>
      <c r="G122" s="6">
        <f t="shared" si="2"/>
        <v>0</v>
      </c>
      <c r="H122" s="18"/>
      <c r="I122" s="81"/>
      <c r="J122" s="20"/>
      <c r="K122" s="20"/>
    </row>
    <row r="123" spans="1:11" customFormat="1" x14ac:dyDescent="0.3">
      <c r="A123" s="15" t="s">
        <v>143</v>
      </c>
      <c r="B123" s="23" t="s">
        <v>144</v>
      </c>
      <c r="C123" s="17" t="s">
        <v>471</v>
      </c>
      <c r="D123" s="18" t="s">
        <v>83</v>
      </c>
      <c r="E123" s="18">
        <v>2</v>
      </c>
      <c r="F123" s="19">
        <v>0</v>
      </c>
      <c r="G123" s="6">
        <f t="shared" si="2"/>
        <v>0</v>
      </c>
      <c r="H123" s="1"/>
    </row>
    <row r="124" spans="1:11" x14ac:dyDescent="0.3">
      <c r="A124" s="15" t="s">
        <v>391</v>
      </c>
      <c r="B124" s="41" t="s">
        <v>392</v>
      </c>
      <c r="C124" s="17" t="s">
        <v>393</v>
      </c>
      <c r="D124" s="18" t="s">
        <v>101</v>
      </c>
      <c r="E124" s="24">
        <v>9</v>
      </c>
      <c r="F124" s="50">
        <v>2</v>
      </c>
      <c r="G124" s="7">
        <f t="shared" si="2"/>
        <v>0</v>
      </c>
      <c r="I124" s="81"/>
    </row>
    <row r="125" spans="1:11" x14ac:dyDescent="0.3">
      <c r="A125" s="15" t="s">
        <v>391</v>
      </c>
      <c r="B125" s="41" t="s">
        <v>394</v>
      </c>
      <c r="C125" s="17" t="s">
        <v>395</v>
      </c>
      <c r="D125" s="18" t="s">
        <v>101</v>
      </c>
      <c r="E125" s="24">
        <v>9</v>
      </c>
      <c r="F125" s="50">
        <v>2</v>
      </c>
      <c r="G125" s="7">
        <f t="shared" si="2"/>
        <v>0</v>
      </c>
      <c r="H125" s="18"/>
      <c r="I125" s="81"/>
    </row>
    <row r="126" spans="1:11" x14ac:dyDescent="0.3">
      <c r="A126" s="15" t="s">
        <v>349</v>
      </c>
      <c r="B126" s="61" t="s">
        <v>352</v>
      </c>
      <c r="C126" s="17" t="s">
        <v>353</v>
      </c>
      <c r="D126" s="18" t="s">
        <v>351</v>
      </c>
      <c r="E126" s="24">
        <v>9</v>
      </c>
      <c r="F126" s="50">
        <v>5</v>
      </c>
      <c r="G126" s="7">
        <f t="shared" si="2"/>
        <v>0</v>
      </c>
      <c r="I126" s="81"/>
    </row>
    <row r="127" spans="1:11" x14ac:dyDescent="0.3">
      <c r="A127" s="15" t="s">
        <v>349</v>
      </c>
      <c r="B127" s="61" t="s">
        <v>343</v>
      </c>
      <c r="C127" s="17" t="s">
        <v>350</v>
      </c>
      <c r="D127" s="18" t="s">
        <v>351</v>
      </c>
      <c r="E127" s="24">
        <v>10</v>
      </c>
      <c r="F127" s="50">
        <v>5</v>
      </c>
      <c r="G127" s="7">
        <f t="shared" si="2"/>
        <v>0</v>
      </c>
      <c r="I127" s="81"/>
    </row>
    <row r="128" spans="1:11" x14ac:dyDescent="0.3">
      <c r="A128" s="15" t="s">
        <v>146</v>
      </c>
      <c r="B128" s="41" t="s">
        <v>147</v>
      </c>
      <c r="C128" s="17" t="s">
        <v>148</v>
      </c>
      <c r="D128" s="18" t="s">
        <v>149</v>
      </c>
      <c r="E128" s="24">
        <v>1</v>
      </c>
      <c r="F128" s="50">
        <v>2</v>
      </c>
      <c r="G128" s="7">
        <f t="shared" si="2"/>
        <v>1</v>
      </c>
      <c r="H128" s="18"/>
      <c r="I128" s="81"/>
    </row>
    <row r="129" spans="1:11" x14ac:dyDescent="0.3">
      <c r="A129" s="15" t="s">
        <v>150</v>
      </c>
      <c r="B129" s="58">
        <v>563200</v>
      </c>
      <c r="C129" s="17" t="s">
        <v>151</v>
      </c>
      <c r="D129" s="18" t="s">
        <v>83</v>
      </c>
      <c r="E129" s="18">
        <v>0</v>
      </c>
      <c r="F129" s="48">
        <v>1</v>
      </c>
      <c r="G129" s="6">
        <f t="shared" si="2"/>
        <v>1</v>
      </c>
      <c r="H129" s="24"/>
      <c r="I129" s="81"/>
    </row>
    <row r="130" spans="1:11" s="9" customFormat="1" x14ac:dyDescent="0.3">
      <c r="A130" s="29" t="s">
        <v>361</v>
      </c>
      <c r="B130" s="78" t="s">
        <v>363</v>
      </c>
      <c r="C130" s="21" t="s">
        <v>364</v>
      </c>
      <c r="D130" s="15" t="s">
        <v>361</v>
      </c>
      <c r="E130" s="15">
        <v>1</v>
      </c>
      <c r="F130" s="49">
        <v>0</v>
      </c>
      <c r="G130" s="10">
        <f t="shared" si="2"/>
        <v>0</v>
      </c>
      <c r="H130" s="39"/>
      <c r="I130" s="82"/>
    </row>
    <row r="131" spans="1:11" x14ac:dyDescent="0.3">
      <c r="A131" s="15" t="s">
        <v>152</v>
      </c>
      <c r="B131" s="58">
        <v>1407583</v>
      </c>
      <c r="C131" s="65" t="s">
        <v>479</v>
      </c>
      <c r="D131" s="18" t="s">
        <v>101</v>
      </c>
      <c r="E131" s="18">
        <v>2</v>
      </c>
      <c r="F131" s="48">
        <v>2</v>
      </c>
      <c r="G131" s="6">
        <f t="shared" si="2"/>
        <v>0</v>
      </c>
      <c r="H131" s="24"/>
      <c r="I131" s="81"/>
    </row>
    <row r="132" spans="1:11" x14ac:dyDescent="0.3">
      <c r="A132" s="15" t="s">
        <v>152</v>
      </c>
      <c r="B132" s="58">
        <v>1407583</v>
      </c>
      <c r="C132" s="17" t="s">
        <v>403</v>
      </c>
      <c r="D132" s="18" t="s">
        <v>101</v>
      </c>
      <c r="E132" s="18">
        <v>3</v>
      </c>
      <c r="F132" s="19">
        <v>0</v>
      </c>
      <c r="G132" s="6">
        <f t="shared" si="2"/>
        <v>0</v>
      </c>
      <c r="H132" s="1"/>
      <c r="I132" s="20">
        <v>10</v>
      </c>
    </row>
    <row r="133" spans="1:11" x14ac:dyDescent="0.3">
      <c r="A133" s="15" t="s">
        <v>152</v>
      </c>
      <c r="B133" s="58">
        <v>1424660</v>
      </c>
      <c r="C133" s="17" t="s">
        <v>401</v>
      </c>
      <c r="D133" s="18" t="s">
        <v>101</v>
      </c>
      <c r="E133" s="18">
        <v>15</v>
      </c>
      <c r="F133" s="48">
        <v>3</v>
      </c>
      <c r="G133" s="6">
        <f t="shared" si="2"/>
        <v>0</v>
      </c>
      <c r="H133" s="18"/>
      <c r="I133" s="81"/>
    </row>
    <row r="134" spans="1:11" customFormat="1" x14ac:dyDescent="0.3">
      <c r="A134" s="63" t="s">
        <v>152</v>
      </c>
      <c r="B134" s="16">
        <v>1424661</v>
      </c>
      <c r="C134" s="17" t="s">
        <v>389</v>
      </c>
      <c r="D134" s="18" t="s">
        <v>101</v>
      </c>
      <c r="E134" s="18">
        <v>14</v>
      </c>
      <c r="F134" s="48">
        <v>3</v>
      </c>
      <c r="G134" s="6">
        <f t="shared" si="2"/>
        <v>0</v>
      </c>
      <c r="H134" s="18"/>
      <c r="I134" s="81"/>
      <c r="J134" s="20"/>
      <c r="K134" s="20"/>
    </row>
    <row r="135" spans="1:11" customFormat="1" x14ac:dyDescent="0.3">
      <c r="A135" s="26" t="s">
        <v>152</v>
      </c>
      <c r="B135" s="16">
        <v>1424662</v>
      </c>
      <c r="C135" s="17" t="s">
        <v>480</v>
      </c>
      <c r="D135" s="18" t="s">
        <v>101</v>
      </c>
      <c r="E135" s="18">
        <v>14</v>
      </c>
      <c r="F135" s="48">
        <v>2</v>
      </c>
      <c r="G135" s="6">
        <f t="shared" si="2"/>
        <v>0</v>
      </c>
      <c r="H135" s="18"/>
      <c r="I135" s="81"/>
      <c r="J135" s="20"/>
      <c r="K135" s="20"/>
    </row>
    <row r="136" spans="1:11" x14ac:dyDescent="0.3">
      <c r="A136" s="15" t="s">
        <v>152</v>
      </c>
      <c r="B136" s="58">
        <v>1424663</v>
      </c>
      <c r="C136" s="17" t="s">
        <v>444</v>
      </c>
      <c r="D136" s="18" t="s">
        <v>101</v>
      </c>
      <c r="E136" s="24">
        <v>12</v>
      </c>
      <c r="F136" s="50">
        <v>2</v>
      </c>
      <c r="G136" s="7">
        <f t="shared" si="2"/>
        <v>0</v>
      </c>
      <c r="H136" s="18"/>
      <c r="I136" s="81"/>
    </row>
    <row r="137" spans="1:11" x14ac:dyDescent="0.3">
      <c r="A137" s="15" t="s">
        <v>152</v>
      </c>
      <c r="B137" s="58">
        <v>1424668</v>
      </c>
      <c r="C137" s="17" t="s">
        <v>387</v>
      </c>
      <c r="D137" s="18" t="s">
        <v>101</v>
      </c>
      <c r="E137" s="24">
        <v>5</v>
      </c>
      <c r="F137" s="25">
        <v>0</v>
      </c>
      <c r="G137" s="7">
        <f t="shared" si="2"/>
        <v>0</v>
      </c>
      <c r="H137" s="1"/>
      <c r="I137" s="20"/>
    </row>
    <row r="138" spans="1:11" x14ac:dyDescent="0.3">
      <c r="A138" s="15" t="s">
        <v>152</v>
      </c>
      <c r="B138" s="58">
        <v>1424669</v>
      </c>
      <c r="C138" s="17" t="s">
        <v>388</v>
      </c>
      <c r="D138" s="18" t="s">
        <v>101</v>
      </c>
      <c r="E138" s="24">
        <v>4</v>
      </c>
      <c r="F138" s="25">
        <v>0</v>
      </c>
      <c r="G138" s="7">
        <f t="shared" si="2"/>
        <v>0</v>
      </c>
      <c r="H138" s="1"/>
      <c r="I138" s="20"/>
    </row>
    <row r="139" spans="1:11" x14ac:dyDescent="0.3">
      <c r="A139" s="15" t="s">
        <v>152</v>
      </c>
      <c r="B139" s="58">
        <v>1482522</v>
      </c>
      <c r="C139" s="17" t="s">
        <v>153</v>
      </c>
      <c r="D139" s="18" t="s">
        <v>101</v>
      </c>
      <c r="E139" s="24">
        <v>17</v>
      </c>
      <c r="F139" s="50">
        <v>2</v>
      </c>
      <c r="G139" s="7">
        <f t="shared" si="2"/>
        <v>0</v>
      </c>
      <c r="H139" s="24"/>
      <c r="I139" s="81"/>
    </row>
    <row r="140" spans="1:11" x14ac:dyDescent="0.3">
      <c r="A140" s="15" t="s">
        <v>152</v>
      </c>
      <c r="B140" s="58">
        <v>1482527</v>
      </c>
      <c r="C140" s="17" t="s">
        <v>154</v>
      </c>
      <c r="D140" s="18" t="s">
        <v>101</v>
      </c>
      <c r="E140" s="24">
        <v>15</v>
      </c>
      <c r="F140" s="50">
        <v>2</v>
      </c>
      <c r="G140" s="7">
        <f t="shared" si="2"/>
        <v>0</v>
      </c>
      <c r="H140" s="18"/>
      <c r="I140" s="81"/>
    </row>
    <row r="141" spans="1:11" x14ac:dyDescent="0.3">
      <c r="A141" s="15" t="s">
        <v>152</v>
      </c>
      <c r="B141" s="58">
        <v>1681473</v>
      </c>
      <c r="C141" s="17" t="s">
        <v>402</v>
      </c>
      <c r="D141" s="18" t="s">
        <v>101</v>
      </c>
      <c r="E141" s="18">
        <v>3</v>
      </c>
      <c r="F141" s="48">
        <v>5</v>
      </c>
      <c r="G141" s="6">
        <f t="shared" si="2"/>
        <v>2</v>
      </c>
      <c r="H141" s="18"/>
      <c r="I141" s="81"/>
    </row>
    <row r="142" spans="1:11" x14ac:dyDescent="0.3">
      <c r="A142" s="15" t="s">
        <v>439</v>
      </c>
      <c r="B142" s="41" t="s">
        <v>440</v>
      </c>
      <c r="C142" s="17" t="s">
        <v>442</v>
      </c>
      <c r="D142" s="18" t="s">
        <v>418</v>
      </c>
      <c r="E142" s="18">
        <v>0</v>
      </c>
      <c r="F142" s="48">
        <v>2</v>
      </c>
      <c r="G142" s="6">
        <f t="shared" si="2"/>
        <v>2</v>
      </c>
      <c r="H142" s="39"/>
      <c r="I142" s="84"/>
      <c r="J142"/>
      <c r="K142"/>
    </row>
    <row r="143" spans="1:11" x14ac:dyDescent="0.3">
      <c r="A143" s="15" t="s">
        <v>439</v>
      </c>
      <c r="B143" s="41" t="s">
        <v>441</v>
      </c>
      <c r="C143" s="17" t="s">
        <v>443</v>
      </c>
      <c r="D143" s="18" t="s">
        <v>101</v>
      </c>
      <c r="E143" s="18">
        <v>8</v>
      </c>
      <c r="F143" s="48">
        <v>2</v>
      </c>
      <c r="G143" s="6">
        <f t="shared" si="2"/>
        <v>0</v>
      </c>
      <c r="H143" s="18"/>
      <c r="I143" s="81"/>
    </row>
    <row r="144" spans="1:11" x14ac:dyDescent="0.3">
      <c r="A144" s="15" t="s">
        <v>439</v>
      </c>
      <c r="B144" s="41" t="s">
        <v>554</v>
      </c>
      <c r="C144" s="17" t="s">
        <v>555</v>
      </c>
      <c r="D144" s="18" t="s">
        <v>101</v>
      </c>
      <c r="E144" s="18">
        <v>0</v>
      </c>
      <c r="F144" s="48">
        <v>2</v>
      </c>
      <c r="G144" s="6">
        <f t="shared" si="2"/>
        <v>2</v>
      </c>
      <c r="H144" s="18"/>
      <c r="I144" s="83"/>
      <c r="J144" s="38"/>
      <c r="K144" s="38"/>
    </row>
    <row r="145" spans="1:11" customFormat="1" x14ac:dyDescent="0.3">
      <c r="A145" s="29" t="s">
        <v>439</v>
      </c>
      <c r="B145" s="20" t="s">
        <v>556</v>
      </c>
      <c r="C145" s="17" t="s">
        <v>557</v>
      </c>
      <c r="D145" s="18" t="s">
        <v>101</v>
      </c>
      <c r="E145" s="18">
        <v>0</v>
      </c>
      <c r="F145" s="48">
        <v>4</v>
      </c>
      <c r="G145" s="6">
        <f t="shared" si="2"/>
        <v>4</v>
      </c>
      <c r="H145" s="18"/>
      <c r="I145" s="83"/>
      <c r="J145" s="38"/>
      <c r="K145" s="38"/>
    </row>
    <row r="146" spans="1:11" x14ac:dyDescent="0.3">
      <c r="A146" s="15" t="s">
        <v>439</v>
      </c>
      <c r="B146" s="41" t="s">
        <v>558</v>
      </c>
      <c r="C146" s="17" t="s">
        <v>559</v>
      </c>
      <c r="D146" s="18" t="s">
        <v>101</v>
      </c>
      <c r="E146" s="18">
        <v>0</v>
      </c>
      <c r="F146" s="48">
        <v>1</v>
      </c>
      <c r="G146" s="6">
        <f t="shared" si="2"/>
        <v>1</v>
      </c>
      <c r="H146" s="18"/>
      <c r="I146" s="83"/>
      <c r="J146" s="38"/>
      <c r="K146" s="38"/>
    </row>
    <row r="147" spans="1:11" customFormat="1" x14ac:dyDescent="0.3">
      <c r="A147" s="29" t="s">
        <v>439</v>
      </c>
      <c r="B147" s="18" t="s">
        <v>552</v>
      </c>
      <c r="C147" s="17" t="s">
        <v>553</v>
      </c>
      <c r="D147" s="18" t="s">
        <v>101</v>
      </c>
      <c r="E147" s="18">
        <v>0</v>
      </c>
      <c r="F147" s="48">
        <v>5</v>
      </c>
      <c r="G147" s="6">
        <f t="shared" si="2"/>
        <v>5</v>
      </c>
      <c r="H147" s="37"/>
      <c r="I147" s="81"/>
      <c r="J147" s="20"/>
      <c r="K147" s="20"/>
    </row>
    <row r="148" spans="1:11" x14ac:dyDescent="0.3">
      <c r="A148" s="15" t="s">
        <v>155</v>
      </c>
      <c r="B148" s="41" t="s">
        <v>157</v>
      </c>
      <c r="C148" s="17" t="s">
        <v>158</v>
      </c>
      <c r="D148" s="18" t="s">
        <v>83</v>
      </c>
      <c r="E148" s="18">
        <v>3</v>
      </c>
      <c r="F148" s="48">
        <v>1</v>
      </c>
      <c r="G148" s="6">
        <f t="shared" si="2"/>
        <v>0</v>
      </c>
      <c r="H148" s="18"/>
    </row>
    <row r="149" spans="1:11" x14ac:dyDescent="0.3">
      <c r="A149" s="15" t="s">
        <v>155</v>
      </c>
      <c r="B149" s="58" t="s">
        <v>156</v>
      </c>
      <c r="C149" s="17" t="s">
        <v>124</v>
      </c>
      <c r="D149" s="18" t="s">
        <v>83</v>
      </c>
      <c r="E149" s="18">
        <v>2</v>
      </c>
      <c r="F149" s="19">
        <v>0</v>
      </c>
      <c r="G149" s="6">
        <f t="shared" si="2"/>
        <v>0</v>
      </c>
      <c r="H149" s="1"/>
      <c r="I149"/>
      <c r="J149"/>
      <c r="K149"/>
    </row>
    <row r="150" spans="1:11" x14ac:dyDescent="0.3">
      <c r="A150" s="15" t="s">
        <v>345</v>
      </c>
      <c r="B150" s="41" t="s">
        <v>156</v>
      </c>
      <c r="C150" s="17" t="s">
        <v>124</v>
      </c>
      <c r="D150" s="18" t="s">
        <v>83</v>
      </c>
      <c r="E150" s="18">
        <v>2</v>
      </c>
      <c r="F150" s="48">
        <v>1</v>
      </c>
      <c r="G150" s="6">
        <f t="shared" si="2"/>
        <v>0</v>
      </c>
      <c r="H150" s="18"/>
    </row>
    <row r="151" spans="1:11" customFormat="1" x14ac:dyDescent="0.3">
      <c r="A151" s="29" t="s">
        <v>345</v>
      </c>
      <c r="B151" s="18" t="s">
        <v>382</v>
      </c>
      <c r="C151" s="17" t="s">
        <v>317</v>
      </c>
      <c r="D151" s="18" t="s">
        <v>83</v>
      </c>
      <c r="E151" s="18">
        <v>1</v>
      </c>
      <c r="F151" s="48">
        <v>1</v>
      </c>
      <c r="G151" s="6">
        <f t="shared" si="2"/>
        <v>0</v>
      </c>
      <c r="H151" s="37"/>
      <c r="I151" s="81"/>
      <c r="J151" s="20"/>
      <c r="K151" s="20"/>
    </row>
    <row r="152" spans="1:11" x14ac:dyDescent="0.3">
      <c r="A152" s="15" t="s">
        <v>345</v>
      </c>
      <c r="B152" s="41" t="s">
        <v>318</v>
      </c>
      <c r="C152" s="17" t="s">
        <v>317</v>
      </c>
      <c r="D152" s="18" t="s">
        <v>83</v>
      </c>
      <c r="E152" s="18">
        <v>1</v>
      </c>
      <c r="F152" s="48">
        <v>1</v>
      </c>
      <c r="G152" s="6">
        <f t="shared" si="2"/>
        <v>0</v>
      </c>
      <c r="H152" s="1"/>
      <c r="I152" s="81"/>
    </row>
    <row r="153" spans="1:11" x14ac:dyDescent="0.3">
      <c r="A153" s="15" t="s">
        <v>345</v>
      </c>
      <c r="B153" s="41" t="s">
        <v>319</v>
      </c>
      <c r="C153" s="17" t="s">
        <v>521</v>
      </c>
      <c r="D153" s="18" t="s">
        <v>83</v>
      </c>
      <c r="E153" s="18">
        <v>3</v>
      </c>
      <c r="F153" s="48">
        <v>1</v>
      </c>
      <c r="G153" s="6">
        <f t="shared" si="2"/>
        <v>0</v>
      </c>
      <c r="I153" s="81"/>
    </row>
    <row r="154" spans="1:11" x14ac:dyDescent="0.3">
      <c r="A154" s="15" t="s">
        <v>345</v>
      </c>
      <c r="B154" s="64" t="s">
        <v>370</v>
      </c>
      <c r="C154" s="17" t="s">
        <v>371</v>
      </c>
      <c r="D154" s="18" t="s">
        <v>83</v>
      </c>
      <c r="E154" s="18">
        <v>1</v>
      </c>
      <c r="F154" s="19">
        <v>0</v>
      </c>
      <c r="G154" s="6">
        <f t="shared" si="2"/>
        <v>0</v>
      </c>
      <c r="H154" s="8"/>
      <c r="I154" s="20">
        <v>1</v>
      </c>
    </row>
    <row r="155" spans="1:11" x14ac:dyDescent="0.3">
      <c r="A155" s="15" t="s">
        <v>345</v>
      </c>
      <c r="B155" s="41" t="s">
        <v>370</v>
      </c>
      <c r="C155" s="17" t="s">
        <v>371</v>
      </c>
      <c r="D155" s="18" t="s">
        <v>83</v>
      </c>
      <c r="E155" s="18">
        <v>1</v>
      </c>
      <c r="F155" s="19">
        <v>0</v>
      </c>
      <c r="G155" s="6">
        <f t="shared" si="2"/>
        <v>0</v>
      </c>
      <c r="H155" s="1"/>
      <c r="I155"/>
      <c r="J155"/>
      <c r="K155"/>
    </row>
    <row r="156" spans="1:11" x14ac:dyDescent="0.3">
      <c r="A156" s="15" t="s">
        <v>9</v>
      </c>
      <c r="B156" s="41" t="s">
        <v>164</v>
      </c>
      <c r="C156" s="17" t="s">
        <v>165</v>
      </c>
      <c r="D156" s="18" t="s">
        <v>9</v>
      </c>
      <c r="E156" s="18">
        <v>6</v>
      </c>
      <c r="F156" s="48">
        <v>2</v>
      </c>
      <c r="G156" s="6">
        <f t="shared" si="2"/>
        <v>0</v>
      </c>
      <c r="H156" s="18"/>
      <c r="I156" s="80"/>
      <c r="J156" s="38"/>
      <c r="K156" s="38"/>
    </row>
    <row r="157" spans="1:11" x14ac:dyDescent="0.3">
      <c r="A157" s="15" t="s">
        <v>9</v>
      </c>
      <c r="B157" s="41" t="s">
        <v>329</v>
      </c>
      <c r="C157" s="17" t="s">
        <v>330</v>
      </c>
      <c r="D157" s="18" t="s">
        <v>9</v>
      </c>
      <c r="E157" s="18">
        <v>6</v>
      </c>
      <c r="F157" s="48">
        <v>2</v>
      </c>
      <c r="G157" s="6">
        <f t="shared" si="2"/>
        <v>0</v>
      </c>
      <c r="H157" s="18"/>
      <c r="I157" s="81"/>
    </row>
    <row r="158" spans="1:11" x14ac:dyDescent="0.3">
      <c r="A158" s="15" t="s">
        <v>9</v>
      </c>
      <c r="B158" s="58" t="s">
        <v>336</v>
      </c>
      <c r="C158" s="17" t="s">
        <v>339</v>
      </c>
      <c r="D158" s="18" t="s">
        <v>9</v>
      </c>
      <c r="E158" s="18">
        <v>34</v>
      </c>
      <c r="F158" s="48">
        <v>5</v>
      </c>
      <c r="G158" s="6">
        <f t="shared" si="2"/>
        <v>0</v>
      </c>
      <c r="I158" s="81"/>
    </row>
    <row r="159" spans="1:11" x14ac:dyDescent="0.3">
      <c r="A159" s="15" t="s">
        <v>9</v>
      </c>
      <c r="B159" s="58" t="s">
        <v>390</v>
      </c>
      <c r="C159" s="17" t="s">
        <v>159</v>
      </c>
      <c r="D159" s="18" t="s">
        <v>9</v>
      </c>
      <c r="E159" s="18">
        <v>22</v>
      </c>
      <c r="F159" s="48">
        <v>5</v>
      </c>
      <c r="G159" s="6">
        <f t="shared" si="2"/>
        <v>0</v>
      </c>
      <c r="H159" s="18"/>
      <c r="I159" s="83"/>
      <c r="J159" s="38"/>
      <c r="K159" s="38"/>
    </row>
    <row r="160" spans="1:11" x14ac:dyDescent="0.3">
      <c r="A160" s="15" t="s">
        <v>9</v>
      </c>
      <c r="B160" s="41" t="s">
        <v>323</v>
      </c>
      <c r="C160" s="17" t="s">
        <v>324</v>
      </c>
      <c r="D160" s="18" t="s">
        <v>9</v>
      </c>
      <c r="E160" s="18">
        <v>5</v>
      </c>
      <c r="F160" s="48">
        <v>2</v>
      </c>
      <c r="G160" s="6">
        <f t="shared" si="2"/>
        <v>0</v>
      </c>
      <c r="H160" s="18"/>
      <c r="I160" s="85"/>
      <c r="J160"/>
      <c r="K160"/>
    </row>
    <row r="161" spans="1:11" customFormat="1" x14ac:dyDescent="0.3">
      <c r="A161" s="29" t="s">
        <v>9</v>
      </c>
      <c r="B161" s="18" t="s">
        <v>162</v>
      </c>
      <c r="C161" s="17" t="s">
        <v>163</v>
      </c>
      <c r="D161" s="18" t="s">
        <v>9</v>
      </c>
      <c r="E161" s="18">
        <v>10</v>
      </c>
      <c r="F161" s="48">
        <v>2</v>
      </c>
      <c r="G161" s="6">
        <f t="shared" si="2"/>
        <v>0</v>
      </c>
      <c r="H161" s="18"/>
      <c r="I161" s="81"/>
      <c r="J161" s="20"/>
      <c r="K161" s="20"/>
    </row>
    <row r="162" spans="1:11" x14ac:dyDescent="0.3">
      <c r="A162" s="15" t="s">
        <v>9</v>
      </c>
      <c r="B162" s="58" t="s">
        <v>431</v>
      </c>
      <c r="C162" s="17" t="s">
        <v>166</v>
      </c>
      <c r="D162" s="18" t="s">
        <v>9</v>
      </c>
      <c r="E162" s="18">
        <v>8</v>
      </c>
      <c r="F162" s="48">
        <v>1</v>
      </c>
      <c r="G162" s="6">
        <f t="shared" si="2"/>
        <v>0</v>
      </c>
      <c r="H162" s="18"/>
    </row>
    <row r="163" spans="1:11" x14ac:dyDescent="0.3">
      <c r="A163" s="15" t="s">
        <v>9</v>
      </c>
      <c r="B163" s="41" t="s">
        <v>331</v>
      </c>
      <c r="C163" s="17" t="s">
        <v>332</v>
      </c>
      <c r="D163" s="18" t="s">
        <v>9</v>
      </c>
      <c r="E163" s="18">
        <v>7</v>
      </c>
      <c r="F163" s="48">
        <v>2</v>
      </c>
      <c r="G163" s="6">
        <f t="shared" si="2"/>
        <v>0</v>
      </c>
      <c r="I163" s="81"/>
    </row>
    <row r="164" spans="1:11" x14ac:dyDescent="0.3">
      <c r="A164" s="15" t="s">
        <v>9</v>
      </c>
      <c r="B164" s="41" t="s">
        <v>160</v>
      </c>
      <c r="C164" s="17" t="s">
        <v>161</v>
      </c>
      <c r="D164" s="18" t="s">
        <v>9</v>
      </c>
      <c r="E164" s="18">
        <v>6</v>
      </c>
      <c r="F164" s="48">
        <v>1</v>
      </c>
      <c r="G164" s="6">
        <f t="shared" si="2"/>
        <v>0</v>
      </c>
      <c r="I164" s="81"/>
    </row>
    <row r="165" spans="1:11" x14ac:dyDescent="0.3">
      <c r="A165" s="15" t="s">
        <v>167</v>
      </c>
      <c r="B165" s="33" t="s">
        <v>95</v>
      </c>
      <c r="C165" s="21" t="s">
        <v>338</v>
      </c>
      <c r="D165" s="15" t="s">
        <v>83</v>
      </c>
      <c r="E165" s="15">
        <v>17</v>
      </c>
      <c r="F165" s="49">
        <v>2</v>
      </c>
      <c r="G165" s="10">
        <f t="shared" si="2"/>
        <v>0</v>
      </c>
      <c r="H165" s="18"/>
      <c r="I165" s="81"/>
    </row>
    <row r="166" spans="1:11" x14ac:dyDescent="0.3">
      <c r="A166" s="15" t="s">
        <v>167</v>
      </c>
      <c r="B166" s="41" t="s">
        <v>218</v>
      </c>
      <c r="C166" s="17" t="s">
        <v>219</v>
      </c>
      <c r="D166" s="18" t="s">
        <v>83</v>
      </c>
      <c r="E166" s="18">
        <v>2</v>
      </c>
      <c r="F166" s="48">
        <v>1</v>
      </c>
      <c r="G166" s="6">
        <f t="shared" si="2"/>
        <v>0</v>
      </c>
      <c r="H166" s="18"/>
      <c r="I166" s="84"/>
      <c r="J166"/>
      <c r="K166"/>
    </row>
    <row r="167" spans="1:11" x14ac:dyDescent="0.3">
      <c r="A167" s="15" t="s">
        <v>167</v>
      </c>
      <c r="B167" s="41" t="s">
        <v>231</v>
      </c>
      <c r="C167" s="17" t="s">
        <v>217</v>
      </c>
      <c r="D167" s="18" t="s">
        <v>83</v>
      </c>
      <c r="E167" s="18">
        <v>3</v>
      </c>
      <c r="F167" s="48">
        <v>2</v>
      </c>
      <c r="G167" s="6">
        <f t="shared" si="2"/>
        <v>0</v>
      </c>
      <c r="I167" s="81"/>
    </row>
    <row r="168" spans="1:11" x14ac:dyDescent="0.3">
      <c r="A168" s="15" t="s">
        <v>167</v>
      </c>
      <c r="B168" s="33" t="s">
        <v>231</v>
      </c>
      <c r="C168" s="21" t="s">
        <v>232</v>
      </c>
      <c r="D168" s="15" t="s">
        <v>83</v>
      </c>
      <c r="E168" s="15">
        <v>3</v>
      </c>
      <c r="F168" s="49">
        <v>2</v>
      </c>
      <c r="G168" s="6">
        <f t="shared" si="2"/>
        <v>0</v>
      </c>
      <c r="I168" s="81"/>
    </row>
    <row r="169" spans="1:11" x14ac:dyDescent="0.3">
      <c r="A169" s="15" t="s">
        <v>167</v>
      </c>
      <c r="B169" s="41" t="s">
        <v>216</v>
      </c>
      <c r="C169" s="17" t="s">
        <v>217</v>
      </c>
      <c r="D169" s="18" t="s">
        <v>83</v>
      </c>
      <c r="E169" s="18">
        <v>0</v>
      </c>
      <c r="F169" s="48">
        <v>0</v>
      </c>
      <c r="G169" s="6">
        <f t="shared" si="2"/>
        <v>0</v>
      </c>
      <c r="I169" s="81"/>
    </row>
    <row r="170" spans="1:11" x14ac:dyDescent="0.3">
      <c r="A170" s="15" t="s">
        <v>167</v>
      </c>
      <c r="B170" s="41" t="s">
        <v>222</v>
      </c>
      <c r="C170" s="17" t="s">
        <v>333</v>
      </c>
      <c r="D170" s="18" t="s">
        <v>83</v>
      </c>
      <c r="E170" s="18">
        <v>2</v>
      </c>
      <c r="F170" s="1">
        <v>2</v>
      </c>
      <c r="G170" s="6">
        <f t="shared" si="2"/>
        <v>0</v>
      </c>
      <c r="I170" s="81"/>
    </row>
    <row r="171" spans="1:11" x14ac:dyDescent="0.3">
      <c r="A171" s="15" t="s">
        <v>167</v>
      </c>
      <c r="B171" s="41" t="s">
        <v>214</v>
      </c>
      <c r="C171" s="17" t="s">
        <v>215</v>
      </c>
      <c r="D171" s="18" t="s">
        <v>83</v>
      </c>
      <c r="E171" s="18">
        <v>3</v>
      </c>
      <c r="F171" s="48">
        <v>2</v>
      </c>
      <c r="G171" s="6">
        <f t="shared" si="2"/>
        <v>0</v>
      </c>
      <c r="H171" s="18"/>
      <c r="I171" s="81"/>
    </row>
    <row r="172" spans="1:11" s="38" customFormat="1" x14ac:dyDescent="0.3">
      <c r="A172" s="15" t="s">
        <v>167</v>
      </c>
      <c r="B172" s="41" t="s">
        <v>212</v>
      </c>
      <c r="C172" s="17" t="s">
        <v>213</v>
      </c>
      <c r="D172" s="18" t="s">
        <v>83</v>
      </c>
      <c r="E172" s="18">
        <v>4</v>
      </c>
      <c r="F172" s="48">
        <v>2</v>
      </c>
      <c r="G172" s="6">
        <f t="shared" si="2"/>
        <v>0</v>
      </c>
      <c r="H172" s="37"/>
      <c r="I172" s="81"/>
      <c r="J172" s="20"/>
      <c r="K172" s="20"/>
    </row>
    <row r="173" spans="1:11" s="9" customFormat="1" x14ac:dyDescent="0.3">
      <c r="A173" s="63" t="s">
        <v>167</v>
      </c>
      <c r="B173" s="18" t="s">
        <v>210</v>
      </c>
      <c r="C173" s="17" t="s">
        <v>211</v>
      </c>
      <c r="D173" s="18" t="s">
        <v>83</v>
      </c>
      <c r="E173" s="18">
        <v>4</v>
      </c>
      <c r="F173" s="48">
        <v>2</v>
      </c>
      <c r="G173" s="6">
        <f t="shared" si="2"/>
        <v>0</v>
      </c>
      <c r="H173" s="18"/>
      <c r="I173" s="81"/>
      <c r="J173" s="20"/>
      <c r="K173" s="20"/>
    </row>
    <row r="174" spans="1:11" customFormat="1" x14ac:dyDescent="0.3">
      <c r="A174" s="15" t="s">
        <v>167</v>
      </c>
      <c r="B174" s="18" t="s">
        <v>208</v>
      </c>
      <c r="C174" s="17" t="s">
        <v>209</v>
      </c>
      <c r="D174" s="18" t="s">
        <v>83</v>
      </c>
      <c r="E174" s="18">
        <v>10</v>
      </c>
      <c r="F174" s="48">
        <v>2</v>
      </c>
      <c r="G174" s="6">
        <f t="shared" si="2"/>
        <v>0</v>
      </c>
      <c r="H174" s="18"/>
      <c r="I174" s="81"/>
      <c r="J174" s="20"/>
      <c r="K174" s="20"/>
    </row>
    <row r="175" spans="1:11" customFormat="1" x14ac:dyDescent="0.3">
      <c r="A175" s="15" t="s">
        <v>167</v>
      </c>
      <c r="B175" s="18" t="s">
        <v>206</v>
      </c>
      <c r="C175" s="17" t="s">
        <v>207</v>
      </c>
      <c r="D175" s="18" t="s">
        <v>83</v>
      </c>
      <c r="E175" s="18">
        <v>4</v>
      </c>
      <c r="F175" s="48">
        <v>2</v>
      </c>
      <c r="G175" s="6">
        <f t="shared" si="2"/>
        <v>0</v>
      </c>
      <c r="H175" s="18"/>
      <c r="I175" s="81"/>
      <c r="J175" s="20"/>
      <c r="K175" s="20"/>
    </row>
    <row r="176" spans="1:11" customFormat="1" x14ac:dyDescent="0.3">
      <c r="A176" s="15" t="s">
        <v>167</v>
      </c>
      <c r="B176" s="18" t="s">
        <v>204</v>
      </c>
      <c r="C176" s="17" t="s">
        <v>205</v>
      </c>
      <c r="D176" s="18" t="s">
        <v>83</v>
      </c>
      <c r="E176" s="18">
        <v>3</v>
      </c>
      <c r="F176" s="48">
        <v>1</v>
      </c>
      <c r="G176" s="6">
        <f t="shared" si="2"/>
        <v>0</v>
      </c>
      <c r="H176" s="18"/>
      <c r="I176" s="81"/>
      <c r="J176" s="20"/>
      <c r="K176" s="20"/>
    </row>
    <row r="177" spans="1:11" customFormat="1" x14ac:dyDescent="0.3">
      <c r="A177" s="26" t="s">
        <v>167</v>
      </c>
      <c r="B177" s="18" t="s">
        <v>202</v>
      </c>
      <c r="C177" s="17" t="s">
        <v>475</v>
      </c>
      <c r="D177" s="18" t="s">
        <v>83</v>
      </c>
      <c r="E177" s="18">
        <v>1</v>
      </c>
      <c r="F177" s="19">
        <v>0</v>
      </c>
      <c r="G177" s="6">
        <f t="shared" si="2"/>
        <v>0</v>
      </c>
      <c r="H177" s="1"/>
      <c r="I177" s="9"/>
      <c r="J177" s="9"/>
      <c r="K177" s="9"/>
    </row>
    <row r="178" spans="1:11" x14ac:dyDescent="0.3">
      <c r="A178" s="15" t="s">
        <v>167</v>
      </c>
      <c r="B178" s="33" t="s">
        <v>202</v>
      </c>
      <c r="C178" s="21" t="s">
        <v>203</v>
      </c>
      <c r="D178" s="15" t="s">
        <v>83</v>
      </c>
      <c r="E178" s="15">
        <v>1</v>
      </c>
      <c r="F178" s="22">
        <v>0</v>
      </c>
      <c r="G178" s="10">
        <f t="shared" ref="G178:G241" si="3">IF(E178&gt;F178,0,IF(F178-E178&gt;F178,0,F178-E178))</f>
        <v>0</v>
      </c>
      <c r="H178" s="4"/>
      <c r="I178"/>
      <c r="J178"/>
      <c r="K178"/>
    </row>
    <row r="179" spans="1:11" x14ac:dyDescent="0.3">
      <c r="A179" s="15" t="s">
        <v>167</v>
      </c>
      <c r="B179" s="41" t="s">
        <v>223</v>
      </c>
      <c r="C179" s="17" t="s">
        <v>224</v>
      </c>
      <c r="D179" s="18" t="s">
        <v>83</v>
      </c>
      <c r="E179" s="18">
        <v>1</v>
      </c>
      <c r="F179" s="19">
        <v>0</v>
      </c>
      <c r="G179" s="6">
        <f t="shared" si="3"/>
        <v>0</v>
      </c>
      <c r="H179" s="1"/>
      <c r="I179"/>
      <c r="J179"/>
      <c r="K179"/>
    </row>
    <row r="180" spans="1:11" x14ac:dyDescent="0.3">
      <c r="A180" s="15" t="s">
        <v>167</v>
      </c>
      <c r="B180" s="41" t="s">
        <v>225</v>
      </c>
      <c r="C180" s="17" t="s">
        <v>472</v>
      </c>
      <c r="D180" s="18" t="s">
        <v>83</v>
      </c>
      <c r="E180" s="18">
        <v>2</v>
      </c>
      <c r="F180" s="48">
        <v>1</v>
      </c>
      <c r="G180" s="6">
        <f t="shared" si="3"/>
        <v>0</v>
      </c>
      <c r="H180" s="18"/>
      <c r="I180" s="81"/>
    </row>
    <row r="181" spans="1:11" x14ac:dyDescent="0.3">
      <c r="A181" s="15" t="s">
        <v>167</v>
      </c>
      <c r="B181" s="41" t="s">
        <v>225</v>
      </c>
      <c r="C181" s="17" t="s">
        <v>226</v>
      </c>
      <c r="D181" s="18" t="s">
        <v>83</v>
      </c>
      <c r="E181" s="18">
        <v>5</v>
      </c>
      <c r="F181" s="19">
        <v>0</v>
      </c>
      <c r="G181" s="6">
        <f t="shared" si="3"/>
        <v>0</v>
      </c>
      <c r="H181" s="1"/>
      <c r="I181"/>
      <c r="J181"/>
      <c r="K181"/>
    </row>
    <row r="182" spans="1:11" x14ac:dyDescent="0.3">
      <c r="A182" s="15" t="s">
        <v>167</v>
      </c>
      <c r="B182" s="41" t="s">
        <v>200</v>
      </c>
      <c r="C182" s="17" t="s">
        <v>201</v>
      </c>
      <c r="D182" s="18" t="s">
        <v>83</v>
      </c>
      <c r="E182" s="18">
        <v>2</v>
      </c>
      <c r="F182" s="19">
        <v>0</v>
      </c>
      <c r="G182" s="6">
        <f t="shared" si="3"/>
        <v>0</v>
      </c>
      <c r="H182" s="1"/>
      <c r="I182" s="20"/>
    </row>
    <row r="183" spans="1:11" x14ac:dyDescent="0.3">
      <c r="A183" s="15" t="s">
        <v>167</v>
      </c>
      <c r="B183" s="41" t="s">
        <v>200</v>
      </c>
      <c r="C183" s="17" t="s">
        <v>457</v>
      </c>
      <c r="D183" s="18" t="s">
        <v>83</v>
      </c>
      <c r="E183" s="18">
        <v>2</v>
      </c>
      <c r="F183" s="48">
        <v>1</v>
      </c>
      <c r="G183" s="6">
        <f t="shared" si="3"/>
        <v>0</v>
      </c>
      <c r="I183" s="85"/>
      <c r="J183"/>
      <c r="K183"/>
    </row>
    <row r="184" spans="1:11" x14ac:dyDescent="0.3">
      <c r="A184" s="15" t="s">
        <v>167</v>
      </c>
      <c r="B184" s="41" t="s">
        <v>198</v>
      </c>
      <c r="C184" s="17" t="s">
        <v>199</v>
      </c>
      <c r="D184" s="18" t="s">
        <v>83</v>
      </c>
      <c r="E184" s="18">
        <v>2</v>
      </c>
      <c r="F184" s="19">
        <v>0</v>
      </c>
      <c r="G184" s="6">
        <f t="shared" si="3"/>
        <v>0</v>
      </c>
      <c r="H184" s="1"/>
      <c r="I184" s="20"/>
    </row>
    <row r="185" spans="1:11" x14ac:dyDescent="0.3">
      <c r="A185" s="15" t="s">
        <v>167</v>
      </c>
      <c r="B185" s="41" t="s">
        <v>198</v>
      </c>
      <c r="C185" s="17" t="s">
        <v>316</v>
      </c>
      <c r="D185" s="18" t="s">
        <v>83</v>
      </c>
      <c r="E185" s="18">
        <v>2</v>
      </c>
      <c r="F185" s="48">
        <v>2</v>
      </c>
      <c r="G185" s="6">
        <f t="shared" si="3"/>
        <v>0</v>
      </c>
      <c r="H185" s="18"/>
      <c r="I185" s="81"/>
    </row>
    <row r="186" spans="1:11" x14ac:dyDescent="0.3">
      <c r="A186" s="15" t="s">
        <v>167</v>
      </c>
      <c r="B186" s="41" t="s">
        <v>560</v>
      </c>
      <c r="C186" s="17" t="s">
        <v>561</v>
      </c>
      <c r="D186" s="18" t="s">
        <v>83</v>
      </c>
      <c r="E186" s="18">
        <v>1</v>
      </c>
      <c r="F186" s="48">
        <v>1</v>
      </c>
      <c r="G186" s="6">
        <f t="shared" si="3"/>
        <v>0</v>
      </c>
      <c r="H186" s="18"/>
      <c r="I186" s="81"/>
    </row>
    <row r="187" spans="1:11" s="38" customFormat="1" x14ac:dyDescent="0.3">
      <c r="A187" s="15" t="s">
        <v>167</v>
      </c>
      <c r="B187" s="33" t="s">
        <v>229</v>
      </c>
      <c r="C187" s="21" t="s">
        <v>230</v>
      </c>
      <c r="D187" s="15" t="s">
        <v>83</v>
      </c>
      <c r="E187" s="15">
        <v>1</v>
      </c>
      <c r="F187" s="49">
        <v>1</v>
      </c>
      <c r="G187" s="10">
        <f t="shared" si="3"/>
        <v>0</v>
      </c>
      <c r="H187" s="18"/>
      <c r="I187" s="81"/>
      <c r="J187" s="20"/>
      <c r="K187" s="20"/>
    </row>
    <row r="188" spans="1:11" s="9" customFormat="1" x14ac:dyDescent="0.3">
      <c r="A188" s="63" t="s">
        <v>167</v>
      </c>
      <c r="B188" s="18" t="s">
        <v>196</v>
      </c>
      <c r="C188" s="17" t="s">
        <v>197</v>
      </c>
      <c r="D188" s="18" t="s">
        <v>83</v>
      </c>
      <c r="E188" s="18">
        <v>2</v>
      </c>
      <c r="F188" s="48">
        <v>2</v>
      </c>
      <c r="G188" s="6">
        <f t="shared" si="3"/>
        <v>0</v>
      </c>
      <c r="H188" s="18"/>
      <c r="I188" s="81"/>
      <c r="J188" s="20"/>
      <c r="K188" s="20"/>
    </row>
    <row r="189" spans="1:11" s="9" customFormat="1" x14ac:dyDescent="0.3">
      <c r="A189" s="15" t="s">
        <v>167</v>
      </c>
      <c r="B189" s="95" t="s">
        <v>246</v>
      </c>
      <c r="C189" s="17" t="s">
        <v>247</v>
      </c>
      <c r="D189" s="18" t="s">
        <v>83</v>
      </c>
      <c r="E189" s="18">
        <v>1</v>
      </c>
      <c r="F189" s="19">
        <v>0</v>
      </c>
      <c r="G189" s="6">
        <f t="shared" si="3"/>
        <v>0</v>
      </c>
      <c r="H189" s="1"/>
      <c r="I189" s="20"/>
      <c r="J189" s="20"/>
      <c r="K189" s="20"/>
    </row>
    <row r="190" spans="1:11" customFormat="1" x14ac:dyDescent="0.3">
      <c r="A190" s="26" t="s">
        <v>167</v>
      </c>
      <c r="B190" s="18" t="s">
        <v>227</v>
      </c>
      <c r="C190" s="17" t="s">
        <v>228</v>
      </c>
      <c r="D190" s="18" t="s">
        <v>83</v>
      </c>
      <c r="E190" s="18">
        <v>1</v>
      </c>
      <c r="F190" s="19">
        <v>0</v>
      </c>
      <c r="G190" s="6">
        <f t="shared" si="3"/>
        <v>0</v>
      </c>
      <c r="H190" s="1"/>
      <c r="I190" s="20"/>
      <c r="J190" s="20"/>
      <c r="K190" s="20"/>
    </row>
    <row r="191" spans="1:11" x14ac:dyDescent="0.3">
      <c r="A191" s="15" t="s">
        <v>167</v>
      </c>
      <c r="B191" s="41" t="s">
        <v>375</v>
      </c>
      <c r="C191" s="17" t="s">
        <v>376</v>
      </c>
      <c r="D191" s="18" t="s">
        <v>83</v>
      </c>
      <c r="E191" s="18">
        <v>2</v>
      </c>
      <c r="F191" s="19">
        <v>0</v>
      </c>
      <c r="G191" s="6">
        <f t="shared" si="3"/>
        <v>0</v>
      </c>
      <c r="H191" s="1"/>
      <c r="I191" s="9"/>
      <c r="J191" s="9"/>
      <c r="K191" s="9"/>
    </row>
    <row r="192" spans="1:11" x14ac:dyDescent="0.3">
      <c r="A192" s="15" t="s">
        <v>167</v>
      </c>
      <c r="B192" s="41" t="s">
        <v>375</v>
      </c>
      <c r="C192" s="17" t="s">
        <v>473</v>
      </c>
      <c r="D192" s="18" t="s">
        <v>83</v>
      </c>
      <c r="E192" s="18">
        <v>3</v>
      </c>
      <c r="F192" s="48">
        <v>1</v>
      </c>
      <c r="G192" s="6">
        <f t="shared" si="3"/>
        <v>0</v>
      </c>
      <c r="H192" s="18"/>
      <c r="I192" s="81"/>
    </row>
    <row r="193" spans="1:11" x14ac:dyDescent="0.3">
      <c r="A193" s="15" t="s">
        <v>167</v>
      </c>
      <c r="B193" s="41" t="s">
        <v>406</v>
      </c>
      <c r="C193" s="17" t="s">
        <v>407</v>
      </c>
      <c r="D193" s="18" t="s">
        <v>83</v>
      </c>
      <c r="E193" s="18">
        <v>1</v>
      </c>
      <c r="F193" s="48">
        <v>1</v>
      </c>
      <c r="G193" s="6">
        <f t="shared" si="3"/>
        <v>0</v>
      </c>
      <c r="I193" s="81"/>
    </row>
    <row r="194" spans="1:11" s="38" customFormat="1" x14ac:dyDescent="0.3">
      <c r="A194" s="15" t="s">
        <v>167</v>
      </c>
      <c r="B194" s="41" t="s">
        <v>408</v>
      </c>
      <c r="C194" s="17" t="s">
        <v>409</v>
      </c>
      <c r="D194" s="18" t="s">
        <v>83</v>
      </c>
      <c r="E194" s="18">
        <v>1</v>
      </c>
      <c r="F194" s="48">
        <v>1</v>
      </c>
      <c r="G194" s="6">
        <f t="shared" si="3"/>
        <v>0</v>
      </c>
      <c r="H194" s="37"/>
      <c r="I194" s="83"/>
    </row>
    <row r="195" spans="1:11" customFormat="1" x14ac:dyDescent="0.3">
      <c r="A195" s="29" t="s">
        <v>167</v>
      </c>
      <c r="B195" s="18" t="s">
        <v>186</v>
      </c>
      <c r="C195" s="17" t="s">
        <v>417</v>
      </c>
      <c r="D195" s="18" t="s">
        <v>83</v>
      </c>
      <c r="E195" s="18">
        <v>1</v>
      </c>
      <c r="F195" s="48">
        <v>1</v>
      </c>
      <c r="G195" s="6">
        <f t="shared" si="3"/>
        <v>0</v>
      </c>
      <c r="H195" s="37"/>
      <c r="I195" s="83"/>
      <c r="J195" s="38"/>
      <c r="K195" s="38"/>
    </row>
    <row r="196" spans="1:11" x14ac:dyDescent="0.3">
      <c r="A196" s="15" t="s">
        <v>167</v>
      </c>
      <c r="B196" s="41" t="s">
        <v>220</v>
      </c>
      <c r="C196" s="17" t="s">
        <v>221</v>
      </c>
      <c r="D196" s="18" t="s">
        <v>83</v>
      </c>
      <c r="E196" s="18">
        <v>3</v>
      </c>
      <c r="F196" s="48">
        <v>1</v>
      </c>
      <c r="G196" s="6">
        <f t="shared" si="3"/>
        <v>0</v>
      </c>
      <c r="I196" s="83"/>
      <c r="J196" s="38"/>
      <c r="K196" s="38"/>
    </row>
    <row r="197" spans="1:11" x14ac:dyDescent="0.3">
      <c r="A197" s="15" t="s">
        <v>167</v>
      </c>
      <c r="B197" s="41" t="s">
        <v>189</v>
      </c>
      <c r="C197" s="17" t="s">
        <v>190</v>
      </c>
      <c r="D197" s="18" t="s">
        <v>83</v>
      </c>
      <c r="E197" s="18">
        <v>1</v>
      </c>
      <c r="F197" s="19">
        <v>0</v>
      </c>
      <c r="G197" s="6">
        <f t="shared" si="3"/>
        <v>0</v>
      </c>
      <c r="H197" s="1"/>
      <c r="I197" s="20"/>
    </row>
    <row r="198" spans="1:11" x14ac:dyDescent="0.3">
      <c r="A198" s="15" t="s">
        <v>167</v>
      </c>
      <c r="B198" s="41" t="s">
        <v>189</v>
      </c>
      <c r="C198" s="17" t="s">
        <v>190</v>
      </c>
      <c r="D198" s="18" t="s">
        <v>83</v>
      </c>
      <c r="E198" s="18">
        <v>1</v>
      </c>
      <c r="F198" s="48">
        <v>1</v>
      </c>
      <c r="G198" s="6">
        <f t="shared" si="3"/>
        <v>0</v>
      </c>
      <c r="I198" s="83"/>
      <c r="J198" s="38"/>
      <c r="K198" s="38"/>
    </row>
    <row r="199" spans="1:11" x14ac:dyDescent="0.3">
      <c r="A199" s="15" t="s">
        <v>167</v>
      </c>
      <c r="B199" s="41" t="s">
        <v>419</v>
      </c>
      <c r="C199" s="17" t="s">
        <v>420</v>
      </c>
      <c r="D199" s="18" t="s">
        <v>83</v>
      </c>
      <c r="E199" s="18">
        <v>1</v>
      </c>
      <c r="F199" s="48">
        <v>1</v>
      </c>
      <c r="G199" s="6">
        <f t="shared" si="3"/>
        <v>0</v>
      </c>
      <c r="I199" s="83"/>
      <c r="J199" s="38"/>
      <c r="K199" s="38"/>
    </row>
    <row r="200" spans="1:11" customFormat="1" x14ac:dyDescent="0.3">
      <c r="A200" s="29" t="s">
        <v>167</v>
      </c>
      <c r="B200" s="18" t="s">
        <v>187</v>
      </c>
      <c r="C200" s="17" t="s">
        <v>188</v>
      </c>
      <c r="D200" s="18" t="s">
        <v>83</v>
      </c>
      <c r="E200" s="18">
        <v>2</v>
      </c>
      <c r="F200" s="48">
        <v>1</v>
      </c>
      <c r="G200" s="6">
        <f t="shared" si="3"/>
        <v>0</v>
      </c>
      <c r="H200" s="37"/>
      <c r="I200" s="81"/>
      <c r="J200" s="20"/>
      <c r="K200" s="20"/>
    </row>
    <row r="201" spans="1:11" x14ac:dyDescent="0.3">
      <c r="A201" s="15" t="s">
        <v>167</v>
      </c>
      <c r="B201" s="41" t="s">
        <v>233</v>
      </c>
      <c r="C201" s="17" t="s">
        <v>234</v>
      </c>
      <c r="D201" s="18" t="s">
        <v>83</v>
      </c>
      <c r="E201" s="24">
        <v>2</v>
      </c>
      <c r="F201" s="50">
        <v>1</v>
      </c>
      <c r="G201" s="7">
        <f t="shared" si="3"/>
        <v>0</v>
      </c>
      <c r="I201" s="81"/>
    </row>
    <row r="202" spans="1:11" x14ac:dyDescent="0.3">
      <c r="A202" s="15" t="s">
        <v>167</v>
      </c>
      <c r="B202" s="33" t="s">
        <v>195</v>
      </c>
      <c r="C202" s="21" t="s">
        <v>194</v>
      </c>
      <c r="D202" s="15" t="s">
        <v>83</v>
      </c>
      <c r="E202" s="15">
        <v>2</v>
      </c>
      <c r="F202" s="22">
        <v>0</v>
      </c>
      <c r="G202" s="10">
        <f t="shared" si="3"/>
        <v>0</v>
      </c>
      <c r="H202" s="4"/>
      <c r="I202" s="20"/>
    </row>
    <row r="203" spans="1:11" x14ac:dyDescent="0.3">
      <c r="A203" s="15" t="s">
        <v>167</v>
      </c>
      <c r="B203" s="58" t="s">
        <v>335</v>
      </c>
      <c r="C203" s="17" t="s">
        <v>338</v>
      </c>
      <c r="D203" s="18" t="s">
        <v>83</v>
      </c>
      <c r="E203" s="18">
        <v>7</v>
      </c>
      <c r="F203" s="48">
        <v>2</v>
      </c>
      <c r="G203" s="6">
        <f t="shared" si="3"/>
        <v>0</v>
      </c>
      <c r="I203" s="81"/>
    </row>
    <row r="204" spans="1:11" x14ac:dyDescent="0.3">
      <c r="A204" s="15" t="s">
        <v>167</v>
      </c>
      <c r="B204" s="33" t="s">
        <v>523</v>
      </c>
      <c r="C204" s="21" t="s">
        <v>524</v>
      </c>
      <c r="D204" s="15" t="s">
        <v>83</v>
      </c>
      <c r="E204" s="15">
        <v>10</v>
      </c>
      <c r="F204" s="49">
        <v>3</v>
      </c>
      <c r="G204" s="6">
        <f t="shared" si="3"/>
        <v>0</v>
      </c>
      <c r="I204" s="81"/>
    </row>
    <row r="205" spans="1:11" x14ac:dyDescent="0.3">
      <c r="A205" s="15" t="s">
        <v>167</v>
      </c>
      <c r="B205" s="33" t="s">
        <v>454</v>
      </c>
      <c r="C205" s="21" t="s">
        <v>455</v>
      </c>
      <c r="D205" s="15" t="s">
        <v>83</v>
      </c>
      <c r="E205" s="15">
        <v>4</v>
      </c>
      <c r="F205" s="49">
        <v>3</v>
      </c>
      <c r="G205" s="10">
        <f t="shared" si="3"/>
        <v>0</v>
      </c>
      <c r="I205" s="81"/>
    </row>
    <row r="206" spans="1:11" s="38" customFormat="1" x14ac:dyDescent="0.3">
      <c r="A206" s="15" t="s">
        <v>167</v>
      </c>
      <c r="B206" s="41" t="s">
        <v>192</v>
      </c>
      <c r="C206" s="17" t="s">
        <v>193</v>
      </c>
      <c r="D206" s="18" t="s">
        <v>83</v>
      </c>
      <c r="E206" s="18">
        <v>5</v>
      </c>
      <c r="F206" s="48">
        <v>1</v>
      </c>
      <c r="G206" s="6">
        <f t="shared" si="3"/>
        <v>0</v>
      </c>
      <c r="H206" s="37"/>
      <c r="I206" s="81"/>
      <c r="J206" s="20"/>
      <c r="K206" s="20"/>
    </row>
    <row r="207" spans="1:11" x14ac:dyDescent="0.3">
      <c r="A207" s="15" t="s">
        <v>167</v>
      </c>
      <c r="B207" s="41" t="s">
        <v>396</v>
      </c>
      <c r="C207" s="17" t="s">
        <v>397</v>
      </c>
      <c r="D207" s="18" t="s">
        <v>83</v>
      </c>
      <c r="E207" s="18">
        <v>2</v>
      </c>
      <c r="F207" s="48">
        <v>1</v>
      </c>
      <c r="G207" s="6">
        <f t="shared" si="3"/>
        <v>0</v>
      </c>
      <c r="I207" s="81"/>
    </row>
    <row r="208" spans="1:11" x14ac:dyDescent="0.3">
      <c r="A208" s="15" t="s">
        <v>167</v>
      </c>
      <c r="B208" s="41" t="s">
        <v>191</v>
      </c>
      <c r="C208" s="17" t="s">
        <v>474</v>
      </c>
      <c r="D208" s="18" t="s">
        <v>83</v>
      </c>
      <c r="E208" s="18">
        <v>2</v>
      </c>
      <c r="F208" s="48">
        <v>1</v>
      </c>
      <c r="G208" s="6">
        <f t="shared" si="3"/>
        <v>0</v>
      </c>
      <c r="I208" s="81"/>
    </row>
    <row r="209" spans="1:11" x14ac:dyDescent="0.3">
      <c r="A209" s="15" t="s">
        <v>167</v>
      </c>
      <c r="B209" s="41" t="s">
        <v>372</v>
      </c>
      <c r="C209" s="17" t="s">
        <v>373</v>
      </c>
      <c r="D209" s="18" t="s">
        <v>83</v>
      </c>
      <c r="E209" s="18">
        <v>2</v>
      </c>
      <c r="F209" s="48">
        <v>1</v>
      </c>
      <c r="G209" s="6">
        <f t="shared" si="3"/>
        <v>0</v>
      </c>
      <c r="H209" s="18"/>
      <c r="I209" s="81"/>
    </row>
    <row r="210" spans="1:11" x14ac:dyDescent="0.3">
      <c r="A210" s="15" t="s">
        <v>167</v>
      </c>
      <c r="B210" s="41" t="s">
        <v>374</v>
      </c>
      <c r="C210" s="17" t="s">
        <v>476</v>
      </c>
      <c r="D210" s="18" t="s">
        <v>83</v>
      </c>
      <c r="E210" s="18">
        <v>2</v>
      </c>
      <c r="F210" s="48">
        <v>1</v>
      </c>
      <c r="G210" s="6">
        <f t="shared" si="3"/>
        <v>0</v>
      </c>
      <c r="I210" s="81"/>
    </row>
    <row r="211" spans="1:11" x14ac:dyDescent="0.3">
      <c r="A211" s="15" t="s">
        <v>167</v>
      </c>
      <c r="B211" s="41" t="s">
        <v>399</v>
      </c>
      <c r="C211" s="17" t="s">
        <v>398</v>
      </c>
      <c r="D211" s="18" t="s">
        <v>83</v>
      </c>
      <c r="E211" s="18">
        <v>2</v>
      </c>
      <c r="F211" s="48">
        <v>1</v>
      </c>
      <c r="G211" s="6">
        <f t="shared" si="3"/>
        <v>0</v>
      </c>
      <c r="H211" s="39"/>
      <c r="I211" s="81"/>
    </row>
    <row r="212" spans="1:11" x14ac:dyDescent="0.3">
      <c r="A212" s="15" t="s">
        <v>167</v>
      </c>
      <c r="B212" s="41" t="s">
        <v>184</v>
      </c>
      <c r="C212" s="17" t="s">
        <v>185</v>
      </c>
      <c r="D212" s="18" t="s">
        <v>83</v>
      </c>
      <c r="E212" s="18">
        <v>8</v>
      </c>
      <c r="F212" s="48">
        <v>5</v>
      </c>
      <c r="G212" s="6">
        <f t="shared" si="3"/>
        <v>0</v>
      </c>
      <c r="H212" s="39"/>
      <c r="I212" s="81"/>
    </row>
    <row r="213" spans="1:11" x14ac:dyDescent="0.3">
      <c r="A213" s="15" t="s">
        <v>167</v>
      </c>
      <c r="B213" s="41" t="s">
        <v>235</v>
      </c>
      <c r="C213" s="17" t="s">
        <v>236</v>
      </c>
      <c r="D213" s="18" t="s">
        <v>83</v>
      </c>
      <c r="E213" s="24">
        <v>1</v>
      </c>
      <c r="F213" s="50">
        <v>2</v>
      </c>
      <c r="G213" s="7">
        <f t="shared" si="3"/>
        <v>1</v>
      </c>
      <c r="H213" s="18"/>
      <c r="I213" s="81"/>
    </row>
    <row r="214" spans="1:11" x14ac:dyDescent="0.3">
      <c r="A214" s="15" t="s">
        <v>167</v>
      </c>
      <c r="B214" s="41" t="s">
        <v>180</v>
      </c>
      <c r="C214" s="17" t="s">
        <v>181</v>
      </c>
      <c r="D214" s="18" t="s">
        <v>83</v>
      </c>
      <c r="E214" s="18">
        <v>3</v>
      </c>
      <c r="F214" s="48">
        <v>1</v>
      </c>
      <c r="G214" s="6">
        <f t="shared" si="3"/>
        <v>0</v>
      </c>
      <c r="H214" s="18"/>
      <c r="I214" s="84"/>
      <c r="J214"/>
      <c r="K214"/>
    </row>
    <row r="215" spans="1:11" customFormat="1" x14ac:dyDescent="0.3">
      <c r="A215" s="29" t="s">
        <v>167</v>
      </c>
      <c r="B215" s="18" t="s">
        <v>178</v>
      </c>
      <c r="C215" s="17" t="s">
        <v>179</v>
      </c>
      <c r="D215" s="18" t="s">
        <v>83</v>
      </c>
      <c r="E215" s="18">
        <v>11</v>
      </c>
      <c r="F215" s="48">
        <v>2</v>
      </c>
      <c r="G215" s="6">
        <f t="shared" si="3"/>
        <v>0</v>
      </c>
      <c r="H215" s="37"/>
      <c r="I215" s="81"/>
      <c r="J215" s="20"/>
      <c r="K215" s="20"/>
    </row>
    <row r="216" spans="1:11" x14ac:dyDescent="0.3">
      <c r="A216" s="15" t="s">
        <v>167</v>
      </c>
      <c r="B216" s="41" t="s">
        <v>176</v>
      </c>
      <c r="C216" s="17" t="s">
        <v>177</v>
      </c>
      <c r="D216" s="18" t="s">
        <v>83</v>
      </c>
      <c r="E216" s="18">
        <v>5</v>
      </c>
      <c r="F216" s="48">
        <v>2</v>
      </c>
      <c r="G216" s="6">
        <f t="shared" si="3"/>
        <v>0</v>
      </c>
      <c r="H216" s="18"/>
      <c r="I216" s="81"/>
    </row>
    <row r="217" spans="1:11" x14ac:dyDescent="0.3">
      <c r="A217" s="15" t="s">
        <v>167</v>
      </c>
      <c r="B217" s="41" t="s">
        <v>174</v>
      </c>
      <c r="C217" s="17" t="s">
        <v>175</v>
      </c>
      <c r="D217" s="18" t="s">
        <v>83</v>
      </c>
      <c r="E217" s="18">
        <v>4</v>
      </c>
      <c r="F217" s="48">
        <v>2</v>
      </c>
      <c r="G217" s="6">
        <f t="shared" si="3"/>
        <v>0</v>
      </c>
      <c r="H217" s="18"/>
      <c r="I217" s="81"/>
    </row>
    <row r="218" spans="1:11" x14ac:dyDescent="0.3">
      <c r="A218" s="15" t="s">
        <v>167</v>
      </c>
      <c r="B218" s="41" t="s">
        <v>172</v>
      </c>
      <c r="C218" s="17" t="s">
        <v>173</v>
      </c>
      <c r="D218" s="18" t="s">
        <v>83</v>
      </c>
      <c r="E218" s="18">
        <v>16</v>
      </c>
      <c r="F218" s="48">
        <v>10</v>
      </c>
      <c r="G218" s="6">
        <f t="shared" si="3"/>
        <v>0</v>
      </c>
      <c r="H218" s="18"/>
    </row>
    <row r="219" spans="1:11" customFormat="1" x14ac:dyDescent="0.3">
      <c r="A219" s="29" t="s">
        <v>167</v>
      </c>
      <c r="B219" s="18" t="s">
        <v>182</v>
      </c>
      <c r="C219" s="17" t="s">
        <v>183</v>
      </c>
      <c r="D219" s="18" t="s">
        <v>83</v>
      </c>
      <c r="E219" s="18">
        <v>2</v>
      </c>
      <c r="F219" s="48">
        <v>1</v>
      </c>
      <c r="G219" s="6">
        <f t="shared" si="3"/>
        <v>0</v>
      </c>
      <c r="H219" s="18"/>
      <c r="I219" s="79"/>
      <c r="J219" s="20"/>
      <c r="K219" s="20"/>
    </row>
    <row r="220" spans="1:11" x14ac:dyDescent="0.3">
      <c r="A220" s="15" t="s">
        <v>167</v>
      </c>
      <c r="B220" s="41" t="s">
        <v>404</v>
      </c>
      <c r="C220" s="17" t="s">
        <v>171</v>
      </c>
      <c r="D220" s="18" t="s">
        <v>83</v>
      </c>
      <c r="E220" s="18">
        <v>13</v>
      </c>
      <c r="F220" s="19">
        <v>5</v>
      </c>
      <c r="G220" s="6">
        <f t="shared" si="3"/>
        <v>0</v>
      </c>
      <c r="H220" s="18"/>
      <c r="I220" s="85"/>
      <c r="J220"/>
      <c r="K220"/>
    </row>
    <row r="221" spans="1:11" customFormat="1" x14ac:dyDescent="0.3">
      <c r="A221" s="63" t="s">
        <v>167</v>
      </c>
      <c r="B221" s="18" t="s">
        <v>170</v>
      </c>
      <c r="C221" s="17" t="s">
        <v>171</v>
      </c>
      <c r="D221" s="18" t="s">
        <v>83</v>
      </c>
      <c r="E221" s="18">
        <v>17</v>
      </c>
      <c r="F221" s="48">
        <v>10</v>
      </c>
      <c r="G221" s="6">
        <f t="shared" si="3"/>
        <v>0</v>
      </c>
      <c r="H221" s="18"/>
      <c r="I221" s="79"/>
      <c r="J221" s="20"/>
      <c r="K221" s="20"/>
    </row>
    <row r="222" spans="1:11" customFormat="1" x14ac:dyDescent="0.3">
      <c r="A222" s="15" t="s">
        <v>167</v>
      </c>
      <c r="B222" s="18" t="s">
        <v>405</v>
      </c>
      <c r="C222" s="17" t="s">
        <v>169</v>
      </c>
      <c r="D222" s="18" t="s">
        <v>83</v>
      </c>
      <c r="E222" s="18">
        <v>4</v>
      </c>
      <c r="F222" s="19">
        <v>0</v>
      </c>
      <c r="G222" s="6">
        <f t="shared" si="3"/>
        <v>0</v>
      </c>
      <c r="H222" s="1"/>
      <c r="I222" s="5"/>
    </row>
    <row r="223" spans="1:11" customFormat="1" x14ac:dyDescent="0.3">
      <c r="A223" s="15" t="s">
        <v>167</v>
      </c>
      <c r="B223" s="18" t="s">
        <v>405</v>
      </c>
      <c r="C223" s="17" t="s">
        <v>169</v>
      </c>
      <c r="D223" s="18" t="s">
        <v>83</v>
      </c>
      <c r="E223" s="18">
        <v>10</v>
      </c>
      <c r="F223" s="48">
        <v>10</v>
      </c>
      <c r="G223" s="6">
        <f t="shared" si="3"/>
        <v>0</v>
      </c>
      <c r="H223" s="18"/>
      <c r="I223" s="85"/>
    </row>
    <row r="224" spans="1:11" s="9" customFormat="1" x14ac:dyDescent="0.3">
      <c r="A224" s="15" t="s">
        <v>167</v>
      </c>
      <c r="B224" s="18" t="s">
        <v>168</v>
      </c>
      <c r="C224" s="17" t="s">
        <v>169</v>
      </c>
      <c r="D224" s="18" t="s">
        <v>83</v>
      </c>
      <c r="E224" s="18">
        <v>17</v>
      </c>
      <c r="F224" s="48">
        <v>10</v>
      </c>
      <c r="G224" s="6">
        <f t="shared" si="3"/>
        <v>0</v>
      </c>
      <c r="H224" s="18"/>
      <c r="I224" s="79"/>
      <c r="J224" s="20"/>
      <c r="K224" s="20"/>
    </row>
    <row r="225" spans="1:11" s="9" customFormat="1" x14ac:dyDescent="0.3">
      <c r="A225" s="15" t="s">
        <v>237</v>
      </c>
      <c r="B225" s="18" t="s">
        <v>244</v>
      </c>
      <c r="C225" s="17" t="s">
        <v>243</v>
      </c>
      <c r="D225" s="18" t="s">
        <v>9</v>
      </c>
      <c r="E225" s="18">
        <v>6</v>
      </c>
      <c r="F225" s="19">
        <v>0</v>
      </c>
      <c r="G225" s="6">
        <f t="shared" si="3"/>
        <v>0</v>
      </c>
      <c r="H225" s="1"/>
      <c r="I225" s="5"/>
      <c r="J225"/>
      <c r="K225"/>
    </row>
    <row r="226" spans="1:11" s="38" customFormat="1" x14ac:dyDescent="0.3">
      <c r="A226" s="15" t="s">
        <v>237</v>
      </c>
      <c r="B226" s="41" t="s">
        <v>242</v>
      </c>
      <c r="C226" s="42" t="s">
        <v>243</v>
      </c>
      <c r="D226" s="18" t="s">
        <v>9</v>
      </c>
      <c r="E226" s="18">
        <v>4</v>
      </c>
      <c r="F226" s="19">
        <v>0</v>
      </c>
      <c r="G226" s="6">
        <f t="shared" si="3"/>
        <v>0</v>
      </c>
      <c r="H226" s="1"/>
      <c r="I226" s="5"/>
      <c r="J226"/>
      <c r="K226"/>
    </row>
    <row r="227" spans="1:11" s="38" customFormat="1" x14ac:dyDescent="0.3">
      <c r="A227" s="15" t="s">
        <v>237</v>
      </c>
      <c r="B227" s="41" t="s">
        <v>240</v>
      </c>
      <c r="C227" s="42" t="s">
        <v>241</v>
      </c>
      <c r="D227" s="18" t="s">
        <v>9</v>
      </c>
      <c r="E227" s="18">
        <v>2</v>
      </c>
      <c r="F227" s="19">
        <v>0</v>
      </c>
      <c r="G227" s="6">
        <f t="shared" si="3"/>
        <v>0</v>
      </c>
      <c r="H227" s="1"/>
      <c r="I227" s="5"/>
      <c r="J227"/>
      <c r="K227"/>
    </row>
    <row r="228" spans="1:11" s="38" customFormat="1" x14ac:dyDescent="0.3">
      <c r="A228" s="15" t="s">
        <v>237</v>
      </c>
      <c r="B228" s="41" t="s">
        <v>240</v>
      </c>
      <c r="C228" s="67" t="s">
        <v>452</v>
      </c>
      <c r="D228" s="18" t="s">
        <v>9</v>
      </c>
      <c r="E228" s="18">
        <v>2</v>
      </c>
      <c r="F228" s="19">
        <v>0</v>
      </c>
      <c r="G228" s="6">
        <f t="shared" si="3"/>
        <v>0</v>
      </c>
      <c r="H228" s="1"/>
      <c r="I228" s="11"/>
      <c r="J228" s="9"/>
      <c r="K228" s="9"/>
    </row>
    <row r="229" spans="1:11" customFormat="1" x14ac:dyDescent="0.3">
      <c r="A229" s="63" t="s">
        <v>237</v>
      </c>
      <c r="B229" s="18" t="s">
        <v>238</v>
      </c>
      <c r="C229" s="17" t="s">
        <v>239</v>
      </c>
      <c r="D229" s="18" t="s">
        <v>9</v>
      </c>
      <c r="E229" s="18">
        <v>4</v>
      </c>
      <c r="F229" s="19">
        <v>0</v>
      </c>
      <c r="G229" s="6">
        <f t="shared" si="3"/>
        <v>0</v>
      </c>
      <c r="H229" s="1"/>
      <c r="I229" s="9"/>
      <c r="J229" s="9"/>
      <c r="K229" s="9"/>
    </row>
    <row r="230" spans="1:11" customFormat="1" x14ac:dyDescent="0.3">
      <c r="A230" s="15" t="s">
        <v>245</v>
      </c>
      <c r="B230" s="18" t="s">
        <v>562</v>
      </c>
      <c r="C230" s="87" t="s">
        <v>563</v>
      </c>
      <c r="D230" s="18" t="s">
        <v>83</v>
      </c>
      <c r="E230" s="18">
        <v>1</v>
      </c>
      <c r="F230" s="48">
        <v>1</v>
      </c>
      <c r="G230" s="6">
        <f t="shared" si="3"/>
        <v>0</v>
      </c>
      <c r="H230" s="18"/>
      <c r="I230" s="84"/>
    </row>
    <row r="231" spans="1:11" customFormat="1" x14ac:dyDescent="0.3">
      <c r="A231" s="15" t="s">
        <v>245</v>
      </c>
      <c r="B231" s="18" t="s">
        <v>248</v>
      </c>
      <c r="C231" s="87" t="s">
        <v>456</v>
      </c>
      <c r="D231" s="18" t="s">
        <v>83</v>
      </c>
      <c r="E231" s="18">
        <v>2</v>
      </c>
      <c r="F231" s="48">
        <v>1</v>
      </c>
      <c r="G231" s="6">
        <f t="shared" si="3"/>
        <v>0</v>
      </c>
      <c r="H231" s="18"/>
      <c r="I231" s="84"/>
    </row>
    <row r="232" spans="1:11" customFormat="1" x14ac:dyDescent="0.3">
      <c r="A232" s="26" t="s">
        <v>249</v>
      </c>
      <c r="B232" s="18" t="s">
        <v>257</v>
      </c>
      <c r="C232" s="17" t="s">
        <v>258</v>
      </c>
      <c r="D232" s="18" t="s">
        <v>531</v>
      </c>
      <c r="E232" s="18">
        <v>4</v>
      </c>
      <c r="F232" s="48">
        <v>2</v>
      </c>
      <c r="G232" s="6">
        <f t="shared" si="3"/>
        <v>0</v>
      </c>
      <c r="H232" s="18"/>
      <c r="I232" s="79"/>
      <c r="J232" s="20"/>
      <c r="K232" s="20"/>
    </row>
    <row r="233" spans="1:11" x14ac:dyDescent="0.3">
      <c r="A233" s="15" t="s">
        <v>249</v>
      </c>
      <c r="B233" s="33" t="s">
        <v>254</v>
      </c>
      <c r="C233" s="21" t="s">
        <v>129</v>
      </c>
      <c r="D233" s="15" t="s">
        <v>531</v>
      </c>
      <c r="E233" s="15">
        <v>1</v>
      </c>
      <c r="F233" s="22">
        <v>0</v>
      </c>
      <c r="G233" s="10">
        <f t="shared" si="3"/>
        <v>0</v>
      </c>
      <c r="H233" s="12"/>
      <c r="I233"/>
      <c r="J233"/>
      <c r="K233"/>
    </row>
    <row r="234" spans="1:11" x14ac:dyDescent="0.3">
      <c r="A234" s="15" t="s">
        <v>249</v>
      </c>
      <c r="B234" s="33" t="s">
        <v>365</v>
      </c>
      <c r="C234" s="21" t="s">
        <v>366</v>
      </c>
      <c r="D234" s="15" t="s">
        <v>531</v>
      </c>
      <c r="E234" s="15">
        <v>2</v>
      </c>
      <c r="F234" s="22">
        <v>0</v>
      </c>
      <c r="G234" s="10">
        <f t="shared" si="3"/>
        <v>0</v>
      </c>
      <c r="H234" s="12"/>
      <c r="I234"/>
      <c r="J234"/>
      <c r="K234"/>
    </row>
    <row r="235" spans="1:11" x14ac:dyDescent="0.3">
      <c r="A235" s="15" t="s">
        <v>249</v>
      </c>
      <c r="B235" s="33" t="s">
        <v>367</v>
      </c>
      <c r="C235" s="21" t="s">
        <v>366</v>
      </c>
      <c r="D235" s="15" t="s">
        <v>531</v>
      </c>
      <c r="E235" s="15">
        <v>1</v>
      </c>
      <c r="F235" s="22">
        <v>0</v>
      </c>
      <c r="G235" s="10">
        <f t="shared" si="3"/>
        <v>0</v>
      </c>
      <c r="H235" s="4"/>
      <c r="I235"/>
      <c r="J235"/>
      <c r="K235"/>
    </row>
    <row r="236" spans="1:11" x14ac:dyDescent="0.3">
      <c r="A236" s="15" t="s">
        <v>249</v>
      </c>
      <c r="B236" s="33" t="s">
        <v>255</v>
      </c>
      <c r="C236" s="21" t="s">
        <v>256</v>
      </c>
      <c r="D236" s="15" t="s">
        <v>531</v>
      </c>
      <c r="E236" s="15">
        <v>1</v>
      </c>
      <c r="F236" s="22">
        <v>0</v>
      </c>
      <c r="G236" s="10">
        <f t="shared" si="3"/>
        <v>0</v>
      </c>
      <c r="H236" s="4"/>
      <c r="I236"/>
      <c r="J236"/>
      <c r="K236"/>
    </row>
    <row r="237" spans="1:11" x14ac:dyDescent="0.3">
      <c r="A237" s="15" t="s">
        <v>249</v>
      </c>
      <c r="B237" s="41" t="s">
        <v>252</v>
      </c>
      <c r="C237" s="17" t="s">
        <v>253</v>
      </c>
      <c r="D237" s="18" t="s">
        <v>531</v>
      </c>
      <c r="E237" s="18">
        <v>2</v>
      </c>
      <c r="F237" s="48">
        <v>1</v>
      </c>
      <c r="G237" s="6">
        <f t="shared" si="3"/>
        <v>0</v>
      </c>
      <c r="H237" s="18"/>
      <c r="I237" s="81"/>
    </row>
    <row r="238" spans="1:11" x14ac:dyDescent="0.3">
      <c r="A238" s="15" t="s">
        <v>249</v>
      </c>
      <c r="B238" s="41" t="s">
        <v>564</v>
      </c>
      <c r="C238" s="17" t="s">
        <v>565</v>
      </c>
      <c r="D238" s="18" t="s">
        <v>531</v>
      </c>
      <c r="E238" s="18">
        <v>1</v>
      </c>
      <c r="F238" s="48">
        <v>1</v>
      </c>
      <c r="G238" s="6">
        <f t="shared" si="3"/>
        <v>0</v>
      </c>
      <c r="H238" s="37">
        <v>1</v>
      </c>
      <c r="I238" s="81"/>
    </row>
    <row r="239" spans="1:11" x14ac:dyDescent="0.3">
      <c r="A239" s="15" t="s">
        <v>249</v>
      </c>
      <c r="B239" s="41" t="s">
        <v>250</v>
      </c>
      <c r="C239" s="17" t="s">
        <v>251</v>
      </c>
      <c r="D239" s="18" t="s">
        <v>531</v>
      </c>
      <c r="E239" s="18">
        <v>11</v>
      </c>
      <c r="F239" s="48">
        <v>5</v>
      </c>
      <c r="G239" s="6">
        <f t="shared" si="3"/>
        <v>0</v>
      </c>
    </row>
    <row r="240" spans="1:11" x14ac:dyDescent="0.3">
      <c r="A240" s="15" t="s">
        <v>259</v>
      </c>
      <c r="B240" s="58">
        <v>10039916</v>
      </c>
      <c r="C240" s="17" t="s">
        <v>453</v>
      </c>
      <c r="D240" s="18" t="s">
        <v>101</v>
      </c>
      <c r="E240" s="18">
        <v>10</v>
      </c>
      <c r="F240" s="48">
        <v>2</v>
      </c>
      <c r="G240" s="6">
        <f t="shared" si="3"/>
        <v>0</v>
      </c>
      <c r="H240" s="18"/>
      <c r="I240" s="81"/>
    </row>
    <row r="241" spans="1:11" x14ac:dyDescent="0.3">
      <c r="A241" s="15" t="s">
        <v>259</v>
      </c>
      <c r="B241" s="58">
        <v>100023062</v>
      </c>
      <c r="C241" s="17" t="s">
        <v>260</v>
      </c>
      <c r="D241" s="18" t="s">
        <v>101</v>
      </c>
      <c r="E241" s="18">
        <v>18</v>
      </c>
      <c r="F241" s="48">
        <v>2</v>
      </c>
      <c r="G241" s="6">
        <f t="shared" si="3"/>
        <v>0</v>
      </c>
      <c r="H241" s="18"/>
      <c r="I241" s="81"/>
    </row>
    <row r="242" spans="1:11" x14ac:dyDescent="0.3">
      <c r="A242" s="15" t="s">
        <v>259</v>
      </c>
      <c r="B242" s="58">
        <v>100023085</v>
      </c>
      <c r="C242" s="17" t="s">
        <v>261</v>
      </c>
      <c r="D242" s="18" t="s">
        <v>101</v>
      </c>
      <c r="E242" s="18">
        <v>15</v>
      </c>
      <c r="F242" s="48">
        <v>2</v>
      </c>
      <c r="G242" s="6">
        <f t="shared" ref="G242:G279" si="4">IF(E242&gt;F242,0,IF(F242-E242&gt;F242,0,F242-E242))</f>
        <v>0</v>
      </c>
      <c r="H242" s="18"/>
      <c r="I242" s="81"/>
    </row>
    <row r="243" spans="1:11" s="38" customFormat="1" x14ac:dyDescent="0.3">
      <c r="A243" s="15" t="s">
        <v>346</v>
      </c>
      <c r="B243" s="58" t="s">
        <v>334</v>
      </c>
      <c r="C243" s="17" t="s">
        <v>337</v>
      </c>
      <c r="D243" s="18" t="s">
        <v>9</v>
      </c>
      <c r="E243" s="18">
        <v>15</v>
      </c>
      <c r="F243" s="48">
        <v>2</v>
      </c>
      <c r="G243" s="6">
        <f t="shared" si="4"/>
        <v>0</v>
      </c>
      <c r="H243" s="37"/>
      <c r="I243" s="81"/>
      <c r="J243" s="20"/>
      <c r="K243" s="20"/>
    </row>
    <row r="244" spans="1:11" s="38" customFormat="1" x14ac:dyDescent="0.3">
      <c r="A244" s="15" t="s">
        <v>263</v>
      </c>
      <c r="B244" s="58" t="s">
        <v>460</v>
      </c>
      <c r="C244" s="17" t="s">
        <v>461</v>
      </c>
      <c r="D244" s="18" t="s">
        <v>263</v>
      </c>
      <c r="E244" s="24">
        <v>1</v>
      </c>
      <c r="F244" s="50">
        <v>1</v>
      </c>
      <c r="G244" s="7">
        <f t="shared" si="4"/>
        <v>0</v>
      </c>
      <c r="H244" s="18"/>
      <c r="I244" s="81"/>
      <c r="J244" s="20"/>
      <c r="K244" s="20"/>
    </row>
    <row r="245" spans="1:11" s="38" customFormat="1" x14ac:dyDescent="0.3">
      <c r="A245" s="15" t="s">
        <v>263</v>
      </c>
      <c r="B245" s="58" t="s">
        <v>458</v>
      </c>
      <c r="C245" s="17" t="s">
        <v>459</v>
      </c>
      <c r="D245" s="18" t="s">
        <v>263</v>
      </c>
      <c r="E245" s="24">
        <v>9</v>
      </c>
      <c r="F245" s="50">
        <v>2</v>
      </c>
      <c r="G245" s="7">
        <f t="shared" si="4"/>
        <v>0</v>
      </c>
      <c r="H245" s="18"/>
      <c r="I245" s="81"/>
      <c r="J245" s="20"/>
      <c r="K245" s="20"/>
    </row>
    <row r="246" spans="1:11" s="38" customFormat="1" x14ac:dyDescent="0.3">
      <c r="A246" s="15" t="s">
        <v>263</v>
      </c>
      <c r="B246" s="41" t="s">
        <v>413</v>
      </c>
      <c r="C246" s="17" t="s">
        <v>437</v>
      </c>
      <c r="D246" s="18" t="s">
        <v>263</v>
      </c>
      <c r="E246" s="18">
        <v>1</v>
      </c>
      <c r="F246" s="48">
        <v>1</v>
      </c>
      <c r="G246" s="6">
        <f t="shared" si="4"/>
        <v>0</v>
      </c>
      <c r="H246" s="18"/>
      <c r="I246" s="81"/>
      <c r="J246" s="20"/>
      <c r="K246" s="20"/>
    </row>
    <row r="247" spans="1:11" s="38" customFormat="1" x14ac:dyDescent="0.3">
      <c r="A247" s="15" t="s">
        <v>263</v>
      </c>
      <c r="B247" s="41" t="s">
        <v>414</v>
      </c>
      <c r="C247" s="17" t="s">
        <v>436</v>
      </c>
      <c r="D247" s="18" t="s">
        <v>263</v>
      </c>
      <c r="E247" s="18">
        <v>1</v>
      </c>
      <c r="F247" s="48">
        <v>1</v>
      </c>
      <c r="G247" s="6">
        <f t="shared" si="4"/>
        <v>0</v>
      </c>
      <c r="H247" s="18"/>
      <c r="I247" s="81"/>
      <c r="J247" s="20"/>
      <c r="K247" s="20"/>
    </row>
    <row r="248" spans="1:11" x14ac:dyDescent="0.3">
      <c r="A248" s="15" t="s">
        <v>263</v>
      </c>
      <c r="B248" s="41" t="s">
        <v>464</v>
      </c>
      <c r="C248" s="17" t="s">
        <v>465</v>
      </c>
      <c r="D248" s="18" t="s">
        <v>263</v>
      </c>
      <c r="E248" s="18">
        <v>1</v>
      </c>
      <c r="F248" s="48">
        <v>1</v>
      </c>
      <c r="G248" s="6">
        <f t="shared" si="4"/>
        <v>0</v>
      </c>
      <c r="H248" s="18"/>
      <c r="I248" s="81"/>
    </row>
    <row r="249" spans="1:11" x14ac:dyDescent="0.3">
      <c r="A249" s="15" t="s">
        <v>263</v>
      </c>
      <c r="B249" s="58" t="s">
        <v>448</v>
      </c>
      <c r="C249" s="17" t="s">
        <v>449</v>
      </c>
      <c r="D249" s="18" t="s">
        <v>263</v>
      </c>
      <c r="E249" s="24">
        <v>1</v>
      </c>
      <c r="F249" s="50">
        <v>1</v>
      </c>
      <c r="G249" s="7">
        <f t="shared" si="4"/>
        <v>0</v>
      </c>
    </row>
    <row r="250" spans="1:11" x14ac:dyDescent="0.3">
      <c r="A250" s="15" t="s">
        <v>263</v>
      </c>
      <c r="B250" s="58" t="s">
        <v>450</v>
      </c>
      <c r="C250" s="17" t="s">
        <v>451</v>
      </c>
      <c r="D250" s="18" t="s">
        <v>263</v>
      </c>
      <c r="E250" s="24">
        <v>1</v>
      </c>
      <c r="F250" s="50">
        <v>1</v>
      </c>
      <c r="G250" s="7">
        <f t="shared" si="4"/>
        <v>0</v>
      </c>
      <c r="H250" s="15"/>
      <c r="I250" s="85"/>
      <c r="J250"/>
      <c r="K250"/>
    </row>
    <row r="251" spans="1:11" x14ac:dyDescent="0.3">
      <c r="A251" s="15" t="s">
        <v>263</v>
      </c>
      <c r="B251" s="58" t="s">
        <v>462</v>
      </c>
      <c r="C251" s="17" t="s">
        <v>463</v>
      </c>
      <c r="D251" s="18" t="s">
        <v>263</v>
      </c>
      <c r="E251" s="24">
        <v>1</v>
      </c>
      <c r="F251" s="50">
        <v>1</v>
      </c>
      <c r="G251" s="7">
        <f t="shared" si="4"/>
        <v>0</v>
      </c>
      <c r="H251" s="15"/>
      <c r="I251" s="85"/>
      <c r="J251"/>
      <c r="K251"/>
    </row>
    <row r="252" spans="1:11" x14ac:dyDescent="0.3">
      <c r="A252" s="15" t="s">
        <v>263</v>
      </c>
      <c r="B252" s="41" t="s">
        <v>415</v>
      </c>
      <c r="C252" s="17" t="s">
        <v>434</v>
      </c>
      <c r="D252" s="18" t="s">
        <v>263</v>
      </c>
      <c r="E252" s="18">
        <v>1</v>
      </c>
      <c r="F252" s="48">
        <v>1</v>
      </c>
      <c r="G252" s="6">
        <f t="shared" si="4"/>
        <v>0</v>
      </c>
      <c r="H252" s="1"/>
      <c r="I252" s="81"/>
    </row>
    <row r="253" spans="1:11" x14ac:dyDescent="0.3">
      <c r="A253" s="15" t="s">
        <v>263</v>
      </c>
      <c r="B253" s="41" t="s">
        <v>416</v>
      </c>
      <c r="C253" s="17" t="s">
        <v>435</v>
      </c>
      <c r="D253" s="18" t="s">
        <v>263</v>
      </c>
      <c r="E253" s="18">
        <v>1</v>
      </c>
      <c r="F253" s="48">
        <v>1</v>
      </c>
      <c r="G253" s="6">
        <f t="shared" si="4"/>
        <v>0</v>
      </c>
      <c r="H253" s="1"/>
      <c r="I253" s="81"/>
    </row>
    <row r="254" spans="1:11" x14ac:dyDescent="0.3">
      <c r="A254" s="15" t="s">
        <v>263</v>
      </c>
      <c r="B254" s="41" t="s">
        <v>300</v>
      </c>
      <c r="C254" s="17" t="s">
        <v>301</v>
      </c>
      <c r="D254" s="18" t="s">
        <v>263</v>
      </c>
      <c r="E254" s="18">
        <v>10</v>
      </c>
      <c r="F254" s="48">
        <v>2</v>
      </c>
      <c r="G254" s="6">
        <f t="shared" si="4"/>
        <v>0</v>
      </c>
      <c r="H254" s="1"/>
      <c r="I254" s="81"/>
    </row>
    <row r="255" spans="1:11" x14ac:dyDescent="0.3">
      <c r="A255" s="15" t="s">
        <v>263</v>
      </c>
      <c r="B255" s="41" t="s">
        <v>469</v>
      </c>
      <c r="C255" s="28" t="s">
        <v>412</v>
      </c>
      <c r="D255" s="18" t="s">
        <v>263</v>
      </c>
      <c r="E255" s="18">
        <v>1</v>
      </c>
      <c r="F255" s="48">
        <v>1</v>
      </c>
      <c r="G255" s="6">
        <f t="shared" si="4"/>
        <v>0</v>
      </c>
      <c r="H255" s="1"/>
      <c r="I255" s="81"/>
    </row>
    <row r="256" spans="1:11" x14ac:dyDescent="0.3">
      <c r="A256" s="15" t="s">
        <v>263</v>
      </c>
      <c r="B256" s="41" t="s">
        <v>470</v>
      </c>
      <c r="C256" s="17" t="s">
        <v>297</v>
      </c>
      <c r="D256" s="18" t="s">
        <v>263</v>
      </c>
      <c r="E256" s="18">
        <v>1</v>
      </c>
      <c r="F256" s="48">
        <v>1</v>
      </c>
      <c r="G256" s="6">
        <f t="shared" si="4"/>
        <v>0</v>
      </c>
      <c r="H256" s="1"/>
      <c r="I256" s="81"/>
    </row>
    <row r="257" spans="1:92" x14ac:dyDescent="0.3">
      <c r="A257" s="15" t="s">
        <v>263</v>
      </c>
      <c r="B257" s="41" t="s">
        <v>468</v>
      </c>
      <c r="C257" s="17" t="s">
        <v>412</v>
      </c>
      <c r="D257" s="18" t="s">
        <v>263</v>
      </c>
      <c r="E257" s="18">
        <v>1</v>
      </c>
      <c r="F257" s="48">
        <v>1</v>
      </c>
      <c r="G257" s="6">
        <f t="shared" si="4"/>
        <v>0</v>
      </c>
      <c r="I257" s="81"/>
    </row>
    <row r="258" spans="1:92" x14ac:dyDescent="0.3">
      <c r="A258" s="15" t="s">
        <v>263</v>
      </c>
      <c r="B258" s="62" t="s">
        <v>411</v>
      </c>
      <c r="C258" s="28" t="s">
        <v>412</v>
      </c>
      <c r="D258" s="27" t="s">
        <v>263</v>
      </c>
      <c r="E258" s="27">
        <v>60</v>
      </c>
      <c r="F258" s="51">
        <v>30</v>
      </c>
      <c r="G258" s="45">
        <f t="shared" si="4"/>
        <v>0</v>
      </c>
      <c r="H258" s="40"/>
      <c r="I258" s="81"/>
    </row>
    <row r="259" spans="1:92" x14ac:dyDescent="0.3">
      <c r="A259" s="15" t="s">
        <v>263</v>
      </c>
      <c r="B259" s="62" t="s">
        <v>298</v>
      </c>
      <c r="C259" s="28" t="s">
        <v>299</v>
      </c>
      <c r="D259" s="27" t="s">
        <v>263</v>
      </c>
      <c r="E259" s="27">
        <v>66</v>
      </c>
      <c r="F259" s="51">
        <v>32</v>
      </c>
      <c r="G259" s="6">
        <f t="shared" si="4"/>
        <v>0</v>
      </c>
      <c r="H259" s="40"/>
      <c r="I259" s="81"/>
    </row>
    <row r="260" spans="1:92" s="18" customFormat="1" x14ac:dyDescent="0.3">
      <c r="A260" s="15" t="s">
        <v>263</v>
      </c>
      <c r="B260" s="41" t="s">
        <v>296</v>
      </c>
      <c r="C260" s="17" t="s">
        <v>297</v>
      </c>
      <c r="D260" s="18" t="s">
        <v>263</v>
      </c>
      <c r="E260" s="18">
        <v>60</v>
      </c>
      <c r="F260" s="48">
        <v>30</v>
      </c>
      <c r="G260" s="6">
        <f t="shared" si="4"/>
        <v>0</v>
      </c>
      <c r="H260" s="37"/>
      <c r="I260" s="81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</row>
    <row r="261" spans="1:92" s="18" customFormat="1" x14ac:dyDescent="0.3">
      <c r="A261" s="15" t="s">
        <v>263</v>
      </c>
      <c r="B261" s="33" t="s">
        <v>466</v>
      </c>
      <c r="C261" s="21" t="s">
        <v>477</v>
      </c>
      <c r="D261" s="15" t="s">
        <v>263</v>
      </c>
      <c r="E261" s="15">
        <v>10</v>
      </c>
      <c r="F261" s="49">
        <v>2</v>
      </c>
      <c r="G261" s="6">
        <f t="shared" si="4"/>
        <v>0</v>
      </c>
      <c r="H261" s="37"/>
      <c r="I261" s="81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</row>
    <row r="262" spans="1:92" s="18" customFormat="1" x14ac:dyDescent="0.3">
      <c r="A262" s="15" t="s">
        <v>263</v>
      </c>
      <c r="B262" s="33" t="s">
        <v>467</v>
      </c>
      <c r="C262" s="21" t="s">
        <v>478</v>
      </c>
      <c r="D262" s="15" t="s">
        <v>263</v>
      </c>
      <c r="E262" s="15">
        <v>10</v>
      </c>
      <c r="F262" s="49">
        <v>2</v>
      </c>
      <c r="G262" s="6">
        <f t="shared" si="4"/>
        <v>0</v>
      </c>
      <c r="H262" s="37"/>
      <c r="I262" s="81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</row>
    <row r="263" spans="1:92" s="18" customFormat="1" x14ac:dyDescent="0.3">
      <c r="A263" s="15" t="s">
        <v>263</v>
      </c>
      <c r="B263" s="33" t="s">
        <v>511</v>
      </c>
      <c r="C263" s="21" t="s">
        <v>512</v>
      </c>
      <c r="D263" s="15" t="s">
        <v>263</v>
      </c>
      <c r="E263" s="15">
        <v>1</v>
      </c>
      <c r="F263" s="49">
        <v>0</v>
      </c>
      <c r="G263" s="6">
        <f t="shared" si="4"/>
        <v>0</v>
      </c>
      <c r="H263" s="39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</row>
    <row r="264" spans="1:92" s="18" customFormat="1" x14ac:dyDescent="0.3">
      <c r="A264" s="15" t="s">
        <v>263</v>
      </c>
      <c r="B264" s="33" t="s">
        <v>511</v>
      </c>
      <c r="C264" s="21" t="s">
        <v>145</v>
      </c>
      <c r="D264" s="15" t="s">
        <v>263</v>
      </c>
      <c r="E264" s="15">
        <v>1</v>
      </c>
      <c r="F264" s="49">
        <v>0</v>
      </c>
      <c r="G264" s="6">
        <f t="shared" si="4"/>
        <v>0</v>
      </c>
      <c r="H264" s="39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</row>
    <row r="265" spans="1:92" s="18" customFormat="1" x14ac:dyDescent="0.3">
      <c r="A265" s="15" t="s">
        <v>263</v>
      </c>
      <c r="B265" s="33" t="s">
        <v>514</v>
      </c>
      <c r="C265" s="21" t="s">
        <v>513</v>
      </c>
      <c r="D265" s="15" t="s">
        <v>263</v>
      </c>
      <c r="E265" s="15">
        <v>1</v>
      </c>
      <c r="F265" s="49">
        <v>0</v>
      </c>
      <c r="G265" s="6">
        <f t="shared" si="4"/>
        <v>0</v>
      </c>
      <c r="H265" s="39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</row>
    <row r="266" spans="1:92" s="18" customFormat="1" x14ac:dyDescent="0.3">
      <c r="A266" s="15" t="s">
        <v>263</v>
      </c>
      <c r="B266" s="33" t="s">
        <v>514</v>
      </c>
      <c r="C266" s="21" t="s">
        <v>145</v>
      </c>
      <c r="D266" s="15" t="s">
        <v>263</v>
      </c>
      <c r="E266" s="15">
        <v>1</v>
      </c>
      <c r="F266" s="49">
        <v>0</v>
      </c>
      <c r="G266" s="6">
        <f t="shared" si="4"/>
        <v>0</v>
      </c>
      <c r="H266" s="39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</row>
    <row r="267" spans="1:92" s="18" customFormat="1" x14ac:dyDescent="0.3">
      <c r="A267" s="15" t="s">
        <v>263</v>
      </c>
      <c r="B267" s="41" t="s">
        <v>295</v>
      </c>
      <c r="C267" s="17" t="s">
        <v>145</v>
      </c>
      <c r="D267" s="18" t="s">
        <v>263</v>
      </c>
      <c r="E267" s="18">
        <v>6</v>
      </c>
      <c r="F267" s="48">
        <v>2</v>
      </c>
      <c r="G267" s="6">
        <f t="shared" si="4"/>
        <v>0</v>
      </c>
      <c r="I267" s="83"/>
      <c r="J267" s="38"/>
      <c r="K267" s="38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</row>
    <row r="268" spans="1:92" customFormat="1" x14ac:dyDescent="0.3">
      <c r="A268" s="26" t="s">
        <v>263</v>
      </c>
      <c r="B268" s="18" t="s">
        <v>293</v>
      </c>
      <c r="C268" s="17" t="s">
        <v>294</v>
      </c>
      <c r="D268" s="18" t="s">
        <v>263</v>
      </c>
      <c r="E268" s="18">
        <v>0</v>
      </c>
      <c r="F268" s="48">
        <v>2</v>
      </c>
      <c r="G268" s="6">
        <f t="shared" si="4"/>
        <v>2</v>
      </c>
      <c r="H268" s="18"/>
      <c r="I268" s="83"/>
      <c r="J268" s="38"/>
      <c r="K268" s="38"/>
    </row>
    <row r="269" spans="1:92" x14ac:dyDescent="0.3">
      <c r="A269" s="15" t="s">
        <v>263</v>
      </c>
      <c r="B269" s="94" t="s">
        <v>291</v>
      </c>
      <c r="C269" s="32" t="s">
        <v>292</v>
      </c>
      <c r="D269" s="18" t="s">
        <v>263</v>
      </c>
      <c r="E269" s="30">
        <v>1</v>
      </c>
      <c r="F269" s="52">
        <v>1</v>
      </c>
      <c r="G269" s="6">
        <f t="shared" si="4"/>
        <v>0</v>
      </c>
      <c r="H269" s="18"/>
    </row>
    <row r="270" spans="1:92" x14ac:dyDescent="0.3">
      <c r="A270" s="15" t="s">
        <v>263</v>
      </c>
      <c r="B270" s="41" t="s">
        <v>506</v>
      </c>
      <c r="C270" s="17" t="s">
        <v>290</v>
      </c>
      <c r="D270" s="18" t="s">
        <v>263</v>
      </c>
      <c r="E270" s="18">
        <v>0</v>
      </c>
      <c r="F270" s="48">
        <v>1</v>
      </c>
      <c r="G270" s="6">
        <f t="shared" si="4"/>
        <v>1</v>
      </c>
      <c r="H270" s="18"/>
    </row>
    <row r="271" spans="1:92" x14ac:dyDescent="0.3">
      <c r="A271" s="15" t="s">
        <v>263</v>
      </c>
      <c r="B271" s="41" t="s">
        <v>421</v>
      </c>
      <c r="C271" s="17" t="s">
        <v>290</v>
      </c>
      <c r="D271" s="18" t="s">
        <v>263</v>
      </c>
      <c r="E271" s="18">
        <v>1</v>
      </c>
      <c r="F271" s="48">
        <v>1</v>
      </c>
      <c r="G271" s="6">
        <f t="shared" si="4"/>
        <v>0</v>
      </c>
      <c r="H271" s="18"/>
    </row>
    <row r="272" spans="1:92" x14ac:dyDescent="0.3">
      <c r="A272" s="15" t="s">
        <v>263</v>
      </c>
      <c r="B272" s="41" t="s">
        <v>288</v>
      </c>
      <c r="C272" s="17" t="s">
        <v>289</v>
      </c>
      <c r="D272" s="18" t="s">
        <v>263</v>
      </c>
      <c r="E272" s="18">
        <v>2</v>
      </c>
      <c r="F272" s="19">
        <v>0</v>
      </c>
      <c r="G272" s="6">
        <f t="shared" si="4"/>
        <v>0</v>
      </c>
      <c r="H272" s="8"/>
      <c r="I272" s="20"/>
    </row>
    <row r="273" spans="1:11" x14ac:dyDescent="0.3">
      <c r="A273" s="15" t="s">
        <v>263</v>
      </c>
      <c r="B273" s="41" t="s">
        <v>287</v>
      </c>
      <c r="C273" s="17" t="s">
        <v>284</v>
      </c>
      <c r="D273" s="18" t="s">
        <v>263</v>
      </c>
      <c r="E273" s="18">
        <v>1</v>
      </c>
      <c r="F273" s="48">
        <v>1</v>
      </c>
      <c r="G273" s="6">
        <f t="shared" si="4"/>
        <v>0</v>
      </c>
      <c r="H273" s="18"/>
      <c r="I273" s="81"/>
    </row>
    <row r="274" spans="1:11" x14ac:dyDescent="0.3">
      <c r="A274" s="15" t="s">
        <v>263</v>
      </c>
      <c r="B274" s="41" t="s">
        <v>285</v>
      </c>
      <c r="C274" s="17" t="s">
        <v>286</v>
      </c>
      <c r="D274" s="18" t="s">
        <v>263</v>
      </c>
      <c r="E274" s="18">
        <v>1</v>
      </c>
      <c r="F274" s="48">
        <v>1</v>
      </c>
      <c r="G274" s="6">
        <f t="shared" si="4"/>
        <v>0</v>
      </c>
      <c r="I274" s="81"/>
    </row>
    <row r="275" spans="1:11" x14ac:dyDescent="0.3">
      <c r="A275" s="15" t="s">
        <v>263</v>
      </c>
      <c r="B275" s="41" t="s">
        <v>283</v>
      </c>
      <c r="C275" s="17" t="s">
        <v>284</v>
      </c>
      <c r="D275" s="18" t="s">
        <v>263</v>
      </c>
      <c r="E275" s="18">
        <v>1</v>
      </c>
      <c r="F275" s="48">
        <v>1</v>
      </c>
      <c r="G275" s="6">
        <f t="shared" si="4"/>
        <v>0</v>
      </c>
      <c r="H275" s="18"/>
      <c r="I275" s="81"/>
    </row>
    <row r="276" spans="1:11" customFormat="1" x14ac:dyDescent="0.3">
      <c r="A276" s="63" t="s">
        <v>263</v>
      </c>
      <c r="B276" s="18" t="s">
        <v>281</v>
      </c>
      <c r="C276" s="17" t="s">
        <v>282</v>
      </c>
      <c r="D276" s="18" t="s">
        <v>263</v>
      </c>
      <c r="E276" s="18">
        <v>5</v>
      </c>
      <c r="F276" s="48">
        <v>5</v>
      </c>
      <c r="G276" s="6">
        <f t="shared" si="4"/>
        <v>0</v>
      </c>
      <c r="H276" s="18"/>
      <c r="I276" s="84"/>
    </row>
    <row r="277" spans="1:11" customFormat="1" x14ac:dyDescent="0.3">
      <c r="A277" s="26" t="s">
        <v>263</v>
      </c>
      <c r="B277" s="18" t="s">
        <v>504</v>
      </c>
      <c r="C277" s="17" t="s">
        <v>505</v>
      </c>
      <c r="D277" s="18" t="s">
        <v>263</v>
      </c>
      <c r="E277" s="18">
        <v>0</v>
      </c>
      <c r="F277" s="48">
        <v>1</v>
      </c>
      <c r="G277" s="6">
        <f t="shared" si="4"/>
        <v>1</v>
      </c>
      <c r="H277" s="18"/>
      <c r="I277" s="84"/>
    </row>
    <row r="278" spans="1:11" x14ac:dyDescent="0.3">
      <c r="A278" s="15" t="s">
        <v>263</v>
      </c>
      <c r="B278" s="41" t="s">
        <v>279</v>
      </c>
      <c r="C278" s="17" t="s">
        <v>280</v>
      </c>
      <c r="D278" s="18" t="s">
        <v>263</v>
      </c>
      <c r="E278" s="18">
        <v>3</v>
      </c>
      <c r="F278" s="48">
        <v>1</v>
      </c>
      <c r="G278" s="6">
        <f t="shared" si="4"/>
        <v>0</v>
      </c>
      <c r="H278" s="18"/>
      <c r="I278" s="81"/>
    </row>
    <row r="279" spans="1:11" customFormat="1" x14ac:dyDescent="0.3">
      <c r="A279" s="63" t="s">
        <v>263</v>
      </c>
      <c r="B279" s="18" t="s">
        <v>277</v>
      </c>
      <c r="C279" s="17" t="s">
        <v>278</v>
      </c>
      <c r="D279" s="18" t="s">
        <v>263</v>
      </c>
      <c r="E279" s="18">
        <v>1</v>
      </c>
      <c r="F279" s="48">
        <v>1</v>
      </c>
      <c r="G279" s="6">
        <f t="shared" si="4"/>
        <v>0</v>
      </c>
      <c r="H279" s="18"/>
      <c r="I279" s="81"/>
      <c r="J279" s="20"/>
      <c r="K279" s="20"/>
    </row>
    <row r="280" spans="1:11" customFormat="1" x14ac:dyDescent="0.3">
      <c r="A280" s="15" t="s">
        <v>263</v>
      </c>
      <c r="B280" s="16" t="s">
        <v>422</v>
      </c>
      <c r="C280" s="17" t="s">
        <v>438</v>
      </c>
      <c r="D280" s="18" t="s">
        <v>263</v>
      </c>
      <c r="E280" s="18">
        <v>1</v>
      </c>
      <c r="F280" s="19">
        <v>0</v>
      </c>
      <c r="G280" s="6">
        <v>0</v>
      </c>
      <c r="H280" s="8"/>
      <c r="I280" s="5"/>
    </row>
    <row r="281" spans="1:11" customFormat="1" x14ac:dyDescent="0.3">
      <c r="A281" s="26" t="s">
        <v>263</v>
      </c>
      <c r="B281" s="26" t="s">
        <v>275</v>
      </c>
      <c r="C281" s="74" t="s">
        <v>276</v>
      </c>
      <c r="D281" s="26" t="s">
        <v>263</v>
      </c>
      <c r="E281" s="26">
        <v>0</v>
      </c>
      <c r="F281" s="75">
        <v>0</v>
      </c>
      <c r="G281" s="10">
        <f t="shared" ref="G281:G290" si="5">IF(E281&gt;F281,0,IF(F281-E281&gt;F281,0,F281-E281))</f>
        <v>0</v>
      </c>
      <c r="H281" s="4"/>
      <c r="I281" s="5"/>
    </row>
    <row r="282" spans="1:11" x14ac:dyDescent="0.3">
      <c r="A282" s="73" t="s">
        <v>263</v>
      </c>
      <c r="B282" s="18" t="s">
        <v>273</v>
      </c>
      <c r="C282" s="17" t="s">
        <v>274</v>
      </c>
      <c r="D282" s="18" t="s">
        <v>263</v>
      </c>
      <c r="E282" s="18">
        <v>0</v>
      </c>
      <c r="F282" s="48">
        <v>1</v>
      </c>
      <c r="G282" s="72">
        <f t="shared" si="5"/>
        <v>1</v>
      </c>
      <c r="H282" s="41"/>
      <c r="I282" s="81"/>
    </row>
    <row r="283" spans="1:11" customFormat="1" x14ac:dyDescent="0.3">
      <c r="A283" s="29" t="s">
        <v>263</v>
      </c>
      <c r="B283" s="36" t="s">
        <v>271</v>
      </c>
      <c r="C283" s="31" t="s">
        <v>272</v>
      </c>
      <c r="D283" s="36" t="s">
        <v>263</v>
      </c>
      <c r="E283" s="36">
        <v>3</v>
      </c>
      <c r="F283" s="76">
        <v>0</v>
      </c>
      <c r="G283" s="1">
        <f t="shared" si="5"/>
        <v>0</v>
      </c>
      <c r="H283" s="72"/>
      <c r="I283" s="5"/>
    </row>
    <row r="284" spans="1:11" x14ac:dyDescent="0.3">
      <c r="A284" s="15" t="s">
        <v>263</v>
      </c>
      <c r="B284" s="41" t="s">
        <v>269</v>
      </c>
      <c r="C284" s="17" t="s">
        <v>270</v>
      </c>
      <c r="D284" s="18" t="s">
        <v>263</v>
      </c>
      <c r="E284" s="18">
        <v>2</v>
      </c>
      <c r="F284" s="19">
        <v>0</v>
      </c>
      <c r="G284" s="1">
        <f t="shared" si="5"/>
        <v>0</v>
      </c>
      <c r="H284" s="72"/>
      <c r="I284" s="34"/>
    </row>
    <row r="285" spans="1:11" x14ac:dyDescent="0.3">
      <c r="A285" s="15" t="s">
        <v>263</v>
      </c>
      <c r="B285" s="41" t="s">
        <v>268</v>
      </c>
      <c r="C285" s="17" t="s">
        <v>312</v>
      </c>
      <c r="D285" s="18" t="s">
        <v>263</v>
      </c>
      <c r="E285" s="18">
        <v>1</v>
      </c>
      <c r="F285" s="19">
        <v>0</v>
      </c>
      <c r="G285" s="1">
        <f t="shared" si="5"/>
        <v>0</v>
      </c>
      <c r="H285" s="72"/>
      <c r="I285" s="34"/>
    </row>
    <row r="286" spans="1:11" x14ac:dyDescent="0.3">
      <c r="A286" s="15" t="s">
        <v>263</v>
      </c>
      <c r="B286" s="41" t="s">
        <v>266</v>
      </c>
      <c r="C286" s="17" t="s">
        <v>267</v>
      </c>
      <c r="D286" s="18" t="s">
        <v>263</v>
      </c>
      <c r="E286" s="18">
        <v>2</v>
      </c>
      <c r="F286" s="48">
        <v>2</v>
      </c>
      <c r="G286" s="1">
        <f t="shared" si="5"/>
        <v>0</v>
      </c>
      <c r="H286" s="41"/>
      <c r="I286" s="81"/>
    </row>
    <row r="287" spans="1:11" x14ac:dyDescent="0.3">
      <c r="A287" s="15" t="s">
        <v>263</v>
      </c>
      <c r="B287" s="33" t="s">
        <v>264</v>
      </c>
      <c r="C287" s="21" t="s">
        <v>265</v>
      </c>
      <c r="D287" s="15" t="s">
        <v>263</v>
      </c>
      <c r="E287" s="15">
        <v>1</v>
      </c>
      <c r="F287" s="22">
        <v>0</v>
      </c>
      <c r="G287" s="4">
        <f t="shared" si="5"/>
        <v>0</v>
      </c>
      <c r="H287" s="14"/>
      <c r="I287" s="34"/>
    </row>
    <row r="288" spans="1:11" customFormat="1" x14ac:dyDescent="0.3">
      <c r="A288" s="29" t="s">
        <v>302</v>
      </c>
      <c r="B288" s="16">
        <v>1478110000</v>
      </c>
      <c r="C288" s="17" t="s">
        <v>145</v>
      </c>
      <c r="D288" s="18" t="s">
        <v>83</v>
      </c>
      <c r="E288" s="18">
        <v>0</v>
      </c>
      <c r="F288" s="19">
        <v>0</v>
      </c>
      <c r="G288" s="1">
        <f t="shared" si="5"/>
        <v>0</v>
      </c>
      <c r="H288" s="13"/>
      <c r="I288" s="5"/>
    </row>
    <row r="289" spans="1:9" x14ac:dyDescent="0.3">
      <c r="A289" s="15" t="s">
        <v>302</v>
      </c>
      <c r="B289" s="58">
        <v>2682130000</v>
      </c>
      <c r="C289" s="17" t="s">
        <v>303</v>
      </c>
      <c r="D289" s="18" t="s">
        <v>83</v>
      </c>
      <c r="E289" s="18">
        <v>2</v>
      </c>
      <c r="F289" s="48">
        <v>1</v>
      </c>
      <c r="G289" s="1">
        <f t="shared" si="5"/>
        <v>0</v>
      </c>
      <c r="H289" s="62"/>
      <c r="I289" s="81"/>
    </row>
    <row r="290" spans="1:9" x14ac:dyDescent="0.3">
      <c r="A290" s="15" t="s">
        <v>304</v>
      </c>
      <c r="B290" s="41" t="s">
        <v>305</v>
      </c>
      <c r="C290" s="17" t="s">
        <v>13</v>
      </c>
      <c r="D290" s="18" t="s">
        <v>83</v>
      </c>
      <c r="E290" s="18">
        <v>8</v>
      </c>
      <c r="F290" s="48">
        <v>1</v>
      </c>
      <c r="G290" s="6">
        <f t="shared" si="5"/>
        <v>0</v>
      </c>
      <c r="I290" s="81"/>
    </row>
    <row r="291" spans="1:9" x14ac:dyDescent="0.3">
      <c r="H291" s="43"/>
    </row>
    <row r="292" spans="1:9" x14ac:dyDescent="0.3">
      <c r="H292" s="43"/>
    </row>
    <row r="293" spans="1:9" x14ac:dyDescent="0.3">
      <c r="H293" s="43"/>
    </row>
    <row r="294" spans="1:9" x14ac:dyDescent="0.3">
      <c r="H294" s="43"/>
    </row>
    <row r="295" spans="1:9" x14ac:dyDescent="0.3">
      <c r="H295" s="43"/>
    </row>
    <row r="296" spans="1:9" x14ac:dyDescent="0.3">
      <c r="H296" s="43"/>
    </row>
    <row r="297" spans="1:9" x14ac:dyDescent="0.3">
      <c r="H297" s="43"/>
    </row>
    <row r="298" spans="1:9" x14ac:dyDescent="0.3">
      <c r="H298" s="43"/>
    </row>
    <row r="299" spans="1:9" x14ac:dyDescent="0.3">
      <c r="H299" s="43"/>
    </row>
    <row r="300" spans="1:9" x14ac:dyDescent="0.3">
      <c r="H300" s="43"/>
    </row>
    <row r="301" spans="1:9" x14ac:dyDescent="0.3">
      <c r="H301" s="43"/>
    </row>
    <row r="302" spans="1:9" x14ac:dyDescent="0.3">
      <c r="H302" s="43"/>
    </row>
    <row r="303" spans="1:9" x14ac:dyDescent="0.3">
      <c r="H303" s="43"/>
    </row>
    <row r="304" spans="1:9" x14ac:dyDescent="0.3">
      <c r="H304" s="43"/>
    </row>
    <row r="305" spans="8:8" x14ac:dyDescent="0.3">
      <c r="H305" s="43"/>
    </row>
    <row r="306" spans="8:8" x14ac:dyDescent="0.3">
      <c r="H306" s="43"/>
    </row>
    <row r="307" spans="8:8" x14ac:dyDescent="0.3">
      <c r="H307" s="43"/>
    </row>
    <row r="308" spans="8:8" x14ac:dyDescent="0.3">
      <c r="H308" s="43"/>
    </row>
    <row r="309" spans="8:8" x14ac:dyDescent="0.3">
      <c r="H309" s="43"/>
    </row>
    <row r="310" spans="8:8" x14ac:dyDescent="0.3">
      <c r="H310" s="43"/>
    </row>
    <row r="311" spans="8:8" x14ac:dyDescent="0.3">
      <c r="H311" s="43"/>
    </row>
    <row r="312" spans="8:8" x14ac:dyDescent="0.3">
      <c r="H312" s="43"/>
    </row>
    <row r="313" spans="8:8" x14ac:dyDescent="0.3">
      <c r="H313" s="43"/>
    </row>
    <row r="314" spans="8:8" x14ac:dyDescent="0.3">
      <c r="H314" s="43"/>
    </row>
    <row r="315" spans="8:8" x14ac:dyDescent="0.3">
      <c r="H315" s="43"/>
    </row>
    <row r="316" spans="8:8" x14ac:dyDescent="0.3">
      <c r="H316" s="43"/>
    </row>
    <row r="317" spans="8:8" x14ac:dyDescent="0.3">
      <c r="H317" s="43"/>
    </row>
    <row r="318" spans="8:8" x14ac:dyDescent="0.3">
      <c r="H318" s="43"/>
    </row>
    <row r="319" spans="8:8" x14ac:dyDescent="0.3">
      <c r="H319" s="43"/>
    </row>
    <row r="320" spans="8:8" x14ac:dyDescent="0.3">
      <c r="H320" s="43"/>
    </row>
    <row r="321" spans="8:8" x14ac:dyDescent="0.3">
      <c r="H321" s="43"/>
    </row>
    <row r="322" spans="8:8" x14ac:dyDescent="0.3">
      <c r="H322" s="43"/>
    </row>
    <row r="323" spans="8:8" x14ac:dyDescent="0.3">
      <c r="H323" s="43"/>
    </row>
    <row r="324" spans="8:8" x14ac:dyDescent="0.3">
      <c r="H324" s="43"/>
    </row>
    <row r="325" spans="8:8" x14ac:dyDescent="0.3">
      <c r="H325" s="43"/>
    </row>
    <row r="326" spans="8:8" x14ac:dyDescent="0.3">
      <c r="H326" s="43"/>
    </row>
    <row r="327" spans="8:8" x14ac:dyDescent="0.3">
      <c r="H327" s="43"/>
    </row>
    <row r="328" spans="8:8" x14ac:dyDescent="0.3">
      <c r="H328" s="43"/>
    </row>
    <row r="329" spans="8:8" x14ac:dyDescent="0.3">
      <c r="H329" s="43"/>
    </row>
    <row r="330" spans="8:8" x14ac:dyDescent="0.3">
      <c r="H330" s="43"/>
    </row>
    <row r="331" spans="8:8" x14ac:dyDescent="0.3">
      <c r="H331" s="43"/>
    </row>
    <row r="332" spans="8:8" x14ac:dyDescent="0.3">
      <c r="H332" s="43"/>
    </row>
    <row r="333" spans="8:8" x14ac:dyDescent="0.3">
      <c r="H333" s="43"/>
    </row>
    <row r="334" spans="8:8" x14ac:dyDescent="0.3">
      <c r="H334" s="43"/>
    </row>
    <row r="335" spans="8:8" x14ac:dyDescent="0.3">
      <c r="H335" s="43"/>
    </row>
    <row r="336" spans="8:8" x14ac:dyDescent="0.3">
      <c r="H336" s="43"/>
    </row>
    <row r="337" spans="8:8" x14ac:dyDescent="0.3">
      <c r="H337" s="43"/>
    </row>
    <row r="338" spans="8:8" x14ac:dyDescent="0.3">
      <c r="H338" s="43"/>
    </row>
    <row r="339" spans="8:8" x14ac:dyDescent="0.3">
      <c r="H339" s="43"/>
    </row>
    <row r="340" spans="8:8" x14ac:dyDescent="0.3">
      <c r="H340" s="43"/>
    </row>
    <row r="341" spans="8:8" x14ac:dyDescent="0.3">
      <c r="H341" s="43"/>
    </row>
    <row r="342" spans="8:8" x14ac:dyDescent="0.3">
      <c r="H342" s="43"/>
    </row>
    <row r="343" spans="8:8" x14ac:dyDescent="0.3">
      <c r="H343" s="43"/>
    </row>
    <row r="344" spans="8:8" x14ac:dyDescent="0.3">
      <c r="H344" s="43"/>
    </row>
    <row r="345" spans="8:8" x14ac:dyDescent="0.3">
      <c r="H345" s="43"/>
    </row>
    <row r="346" spans="8:8" x14ac:dyDescent="0.3">
      <c r="H346" s="43"/>
    </row>
    <row r="347" spans="8:8" x14ac:dyDescent="0.3">
      <c r="H347" s="43"/>
    </row>
    <row r="348" spans="8:8" x14ac:dyDescent="0.3">
      <c r="H348" s="43"/>
    </row>
    <row r="349" spans="8:8" x14ac:dyDescent="0.3">
      <c r="H349" s="43"/>
    </row>
    <row r="350" spans="8:8" x14ac:dyDescent="0.3">
      <c r="H350" s="43"/>
    </row>
    <row r="351" spans="8:8" x14ac:dyDescent="0.3">
      <c r="H351" s="43"/>
    </row>
    <row r="352" spans="8:8" x14ac:dyDescent="0.3">
      <c r="H352" s="43"/>
    </row>
    <row r="353" spans="8:8" x14ac:dyDescent="0.3">
      <c r="H353" s="43"/>
    </row>
    <row r="354" spans="8:8" x14ac:dyDescent="0.3">
      <c r="H354" s="43"/>
    </row>
    <row r="355" spans="8:8" x14ac:dyDescent="0.3">
      <c r="H355" s="43"/>
    </row>
    <row r="356" spans="8:8" x14ac:dyDescent="0.3">
      <c r="H356" s="43"/>
    </row>
    <row r="357" spans="8:8" x14ac:dyDescent="0.3">
      <c r="H357" s="43"/>
    </row>
    <row r="358" spans="8:8" x14ac:dyDescent="0.3">
      <c r="H358" s="43"/>
    </row>
    <row r="359" spans="8:8" x14ac:dyDescent="0.3">
      <c r="H359" s="43"/>
    </row>
    <row r="360" spans="8:8" x14ac:dyDescent="0.3">
      <c r="H360" s="43"/>
    </row>
    <row r="361" spans="8:8" x14ac:dyDescent="0.3">
      <c r="H361" s="43"/>
    </row>
    <row r="362" spans="8:8" x14ac:dyDescent="0.3">
      <c r="H362" s="43"/>
    </row>
    <row r="363" spans="8:8" x14ac:dyDescent="0.3">
      <c r="H363" s="43"/>
    </row>
    <row r="364" spans="8:8" x14ac:dyDescent="0.3">
      <c r="H364" s="43"/>
    </row>
    <row r="365" spans="8:8" x14ac:dyDescent="0.3">
      <c r="H365" s="43"/>
    </row>
    <row r="366" spans="8:8" x14ac:dyDescent="0.3">
      <c r="H366" s="43"/>
    </row>
    <row r="367" spans="8:8" x14ac:dyDescent="0.3">
      <c r="H367" s="43"/>
    </row>
    <row r="368" spans="8:8" x14ac:dyDescent="0.3">
      <c r="H368" s="43"/>
    </row>
    <row r="369" spans="8:8" x14ac:dyDescent="0.3">
      <c r="H369" s="43"/>
    </row>
    <row r="370" spans="8:8" x14ac:dyDescent="0.3">
      <c r="H370" s="43"/>
    </row>
    <row r="371" spans="8:8" x14ac:dyDescent="0.3">
      <c r="H371" s="43"/>
    </row>
    <row r="372" spans="8:8" x14ac:dyDescent="0.3">
      <c r="H372" s="43"/>
    </row>
    <row r="373" spans="8:8" x14ac:dyDescent="0.3">
      <c r="H373" s="43"/>
    </row>
    <row r="374" spans="8:8" x14ac:dyDescent="0.3">
      <c r="H374" s="43"/>
    </row>
    <row r="375" spans="8:8" x14ac:dyDescent="0.3">
      <c r="H375" s="43"/>
    </row>
    <row r="376" spans="8:8" x14ac:dyDescent="0.3">
      <c r="H376" s="43"/>
    </row>
    <row r="377" spans="8:8" x14ac:dyDescent="0.3">
      <c r="H377" s="43"/>
    </row>
    <row r="378" spans="8:8" x14ac:dyDescent="0.3">
      <c r="H378" s="43"/>
    </row>
    <row r="379" spans="8:8" x14ac:dyDescent="0.3">
      <c r="H379" s="43"/>
    </row>
    <row r="380" spans="8:8" x14ac:dyDescent="0.3">
      <c r="H380" s="43"/>
    </row>
    <row r="381" spans="8:8" x14ac:dyDescent="0.3">
      <c r="H381" s="43"/>
    </row>
    <row r="382" spans="8:8" x14ac:dyDescent="0.3">
      <c r="H382" s="43"/>
    </row>
    <row r="383" spans="8:8" x14ac:dyDescent="0.3">
      <c r="H383" s="43"/>
    </row>
    <row r="384" spans="8:8" x14ac:dyDescent="0.3">
      <c r="H384" s="43"/>
    </row>
    <row r="385" spans="8:8" x14ac:dyDescent="0.3">
      <c r="H385" s="43"/>
    </row>
    <row r="386" spans="8:8" x14ac:dyDescent="0.3">
      <c r="H386" s="43"/>
    </row>
    <row r="387" spans="8:8" x14ac:dyDescent="0.3">
      <c r="H387" s="43"/>
    </row>
    <row r="388" spans="8:8" x14ac:dyDescent="0.3">
      <c r="H388" s="43"/>
    </row>
    <row r="389" spans="8:8" x14ac:dyDescent="0.3">
      <c r="H389" s="43"/>
    </row>
    <row r="390" spans="8:8" x14ac:dyDescent="0.3">
      <c r="H390" s="43"/>
    </row>
    <row r="391" spans="8:8" x14ac:dyDescent="0.3">
      <c r="H391" s="43"/>
    </row>
    <row r="392" spans="8:8" x14ac:dyDescent="0.3">
      <c r="H392" s="43"/>
    </row>
    <row r="393" spans="8:8" x14ac:dyDescent="0.3">
      <c r="H393" s="43"/>
    </row>
    <row r="394" spans="8:8" x14ac:dyDescent="0.3">
      <c r="H394" s="43"/>
    </row>
    <row r="395" spans="8:8" x14ac:dyDescent="0.3">
      <c r="H395" s="43"/>
    </row>
    <row r="396" spans="8:8" x14ac:dyDescent="0.3">
      <c r="H396" s="43"/>
    </row>
    <row r="397" spans="8:8" x14ac:dyDescent="0.3">
      <c r="H397" s="43"/>
    </row>
    <row r="398" spans="8:8" x14ac:dyDescent="0.3">
      <c r="H398" s="43"/>
    </row>
    <row r="399" spans="8:8" x14ac:dyDescent="0.3">
      <c r="H399" s="43"/>
    </row>
    <row r="400" spans="8:8" x14ac:dyDescent="0.3">
      <c r="H400" s="43"/>
    </row>
    <row r="401" spans="8:8" x14ac:dyDescent="0.3">
      <c r="H401" s="43"/>
    </row>
    <row r="402" spans="8:8" x14ac:dyDescent="0.3">
      <c r="H402" s="43"/>
    </row>
    <row r="403" spans="8:8" x14ac:dyDescent="0.3">
      <c r="H403" s="43"/>
    </row>
    <row r="404" spans="8:8" x14ac:dyDescent="0.3">
      <c r="H404" s="43"/>
    </row>
    <row r="405" spans="8:8" x14ac:dyDescent="0.3">
      <c r="H405" s="43"/>
    </row>
    <row r="406" spans="8:8" x14ac:dyDescent="0.3">
      <c r="H406" s="43"/>
    </row>
    <row r="407" spans="8:8" x14ac:dyDescent="0.3">
      <c r="H407" s="43"/>
    </row>
    <row r="408" spans="8:8" x14ac:dyDescent="0.3">
      <c r="H408" s="43"/>
    </row>
    <row r="409" spans="8:8" x14ac:dyDescent="0.3">
      <c r="H409" s="43"/>
    </row>
    <row r="410" spans="8:8" x14ac:dyDescent="0.3">
      <c r="H410" s="43"/>
    </row>
    <row r="411" spans="8:8" x14ac:dyDescent="0.3">
      <c r="H411" s="43"/>
    </row>
    <row r="412" spans="8:8" x14ac:dyDescent="0.3">
      <c r="H412" s="43"/>
    </row>
    <row r="413" spans="8:8" x14ac:dyDescent="0.3">
      <c r="H413" s="43"/>
    </row>
    <row r="414" spans="8:8" x14ac:dyDescent="0.3">
      <c r="H414" s="43"/>
    </row>
    <row r="415" spans="8:8" x14ac:dyDescent="0.3">
      <c r="H415" s="43"/>
    </row>
    <row r="416" spans="8:8" x14ac:dyDescent="0.3">
      <c r="H416" s="43"/>
    </row>
    <row r="417" spans="8:8" x14ac:dyDescent="0.3">
      <c r="H417" s="43"/>
    </row>
    <row r="418" spans="8:8" x14ac:dyDescent="0.3">
      <c r="H418" s="43"/>
    </row>
    <row r="419" spans="8:8" x14ac:dyDescent="0.3">
      <c r="H419" s="43"/>
    </row>
    <row r="420" spans="8:8" x14ac:dyDescent="0.3">
      <c r="H420" s="43"/>
    </row>
    <row r="421" spans="8:8" x14ac:dyDescent="0.3">
      <c r="H421" s="43"/>
    </row>
    <row r="422" spans="8:8" x14ac:dyDescent="0.3">
      <c r="H422" s="43"/>
    </row>
    <row r="423" spans="8:8" x14ac:dyDescent="0.3">
      <c r="H423" s="43"/>
    </row>
    <row r="424" spans="8:8" x14ac:dyDescent="0.3">
      <c r="H424" s="43"/>
    </row>
    <row r="425" spans="8:8" x14ac:dyDescent="0.3">
      <c r="H425" s="43"/>
    </row>
    <row r="426" spans="8:8" x14ac:dyDescent="0.3">
      <c r="H426" s="43"/>
    </row>
    <row r="427" spans="8:8" x14ac:dyDescent="0.3">
      <c r="H427" s="43"/>
    </row>
    <row r="428" spans="8:8" x14ac:dyDescent="0.3">
      <c r="H428" s="43"/>
    </row>
    <row r="429" spans="8:8" x14ac:dyDescent="0.3">
      <c r="H429" s="43"/>
    </row>
    <row r="430" spans="8:8" x14ac:dyDescent="0.3">
      <c r="H430" s="43"/>
    </row>
    <row r="431" spans="8:8" x14ac:dyDescent="0.3">
      <c r="H431" s="43"/>
    </row>
    <row r="432" spans="8:8" x14ac:dyDescent="0.3">
      <c r="H432" s="43"/>
    </row>
    <row r="433" spans="8:8" x14ac:dyDescent="0.3">
      <c r="H433" s="43"/>
    </row>
    <row r="434" spans="8:8" x14ac:dyDescent="0.3">
      <c r="H434" s="43"/>
    </row>
    <row r="435" spans="8:8" x14ac:dyDescent="0.3">
      <c r="H435" s="43"/>
    </row>
    <row r="436" spans="8:8" x14ac:dyDescent="0.3">
      <c r="H436" s="43"/>
    </row>
    <row r="437" spans="8:8" x14ac:dyDescent="0.3">
      <c r="H437" s="43"/>
    </row>
    <row r="438" spans="8:8" x14ac:dyDescent="0.3">
      <c r="H438" s="43"/>
    </row>
    <row r="439" spans="8:8" x14ac:dyDescent="0.3">
      <c r="H439" s="43"/>
    </row>
    <row r="440" spans="8:8" x14ac:dyDescent="0.3">
      <c r="H440" s="43"/>
    </row>
    <row r="441" spans="8:8" x14ac:dyDescent="0.3">
      <c r="H441" s="43"/>
    </row>
    <row r="442" spans="8:8" x14ac:dyDescent="0.3">
      <c r="H442" s="43"/>
    </row>
    <row r="443" spans="8:8" x14ac:dyDescent="0.3">
      <c r="H443" s="43"/>
    </row>
    <row r="444" spans="8:8" x14ac:dyDescent="0.3">
      <c r="H444" s="43"/>
    </row>
    <row r="445" spans="8:8" x14ac:dyDescent="0.3">
      <c r="H445" s="43"/>
    </row>
    <row r="446" spans="8:8" x14ac:dyDescent="0.3">
      <c r="H446" s="43"/>
    </row>
    <row r="447" spans="8:8" x14ac:dyDescent="0.3">
      <c r="H447" s="43"/>
    </row>
    <row r="448" spans="8:8" x14ac:dyDescent="0.3">
      <c r="H448" s="43"/>
    </row>
    <row r="449" spans="8:8" x14ac:dyDescent="0.3">
      <c r="H449" s="43"/>
    </row>
    <row r="450" spans="8:8" x14ac:dyDescent="0.3">
      <c r="H450" s="43"/>
    </row>
    <row r="451" spans="8:8" x14ac:dyDescent="0.3">
      <c r="H451" s="43"/>
    </row>
    <row r="452" spans="8:8" x14ac:dyDescent="0.3">
      <c r="H452" s="43"/>
    </row>
    <row r="453" spans="8:8" x14ac:dyDescent="0.3">
      <c r="H453" s="43"/>
    </row>
    <row r="454" spans="8:8" x14ac:dyDescent="0.3">
      <c r="H454" s="43"/>
    </row>
    <row r="455" spans="8:8" x14ac:dyDescent="0.3">
      <c r="H455" s="43"/>
    </row>
    <row r="456" spans="8:8" x14ac:dyDescent="0.3">
      <c r="H456" s="43"/>
    </row>
    <row r="457" spans="8:8" x14ac:dyDescent="0.3">
      <c r="H457" s="43"/>
    </row>
    <row r="458" spans="8:8" x14ac:dyDescent="0.3">
      <c r="H458" s="43"/>
    </row>
    <row r="459" spans="8:8" x14ac:dyDescent="0.3">
      <c r="H459" s="43"/>
    </row>
    <row r="460" spans="8:8" x14ac:dyDescent="0.3">
      <c r="H460" s="43"/>
    </row>
    <row r="461" spans="8:8" x14ac:dyDescent="0.3">
      <c r="H461" s="43"/>
    </row>
    <row r="462" spans="8:8" x14ac:dyDescent="0.3">
      <c r="H462" s="43"/>
    </row>
    <row r="463" spans="8:8" x14ac:dyDescent="0.3">
      <c r="H463" s="43"/>
    </row>
    <row r="464" spans="8:8" x14ac:dyDescent="0.3">
      <c r="H464" s="43"/>
    </row>
    <row r="465" spans="8:8" x14ac:dyDescent="0.3">
      <c r="H465" s="43"/>
    </row>
    <row r="466" spans="8:8" x14ac:dyDescent="0.3">
      <c r="H466" s="43"/>
    </row>
    <row r="467" spans="8:8" x14ac:dyDescent="0.3">
      <c r="H467" s="43"/>
    </row>
    <row r="468" spans="8:8" x14ac:dyDescent="0.3">
      <c r="H468" s="43"/>
    </row>
    <row r="469" spans="8:8" x14ac:dyDescent="0.3">
      <c r="H469" s="43"/>
    </row>
    <row r="470" spans="8:8" x14ac:dyDescent="0.3">
      <c r="H470" s="43"/>
    </row>
    <row r="471" spans="8:8" x14ac:dyDescent="0.3">
      <c r="H471" s="43"/>
    </row>
    <row r="472" spans="8:8" x14ac:dyDescent="0.3">
      <c r="H472" s="43"/>
    </row>
    <row r="473" spans="8:8" x14ac:dyDescent="0.3">
      <c r="H473" s="43"/>
    </row>
    <row r="474" spans="8:8" x14ac:dyDescent="0.3">
      <c r="H474" s="43"/>
    </row>
    <row r="475" spans="8:8" x14ac:dyDescent="0.3">
      <c r="H475" s="43"/>
    </row>
    <row r="476" spans="8:8" x14ac:dyDescent="0.3">
      <c r="H476" s="43"/>
    </row>
    <row r="477" spans="8:8" x14ac:dyDescent="0.3">
      <c r="H477" s="43"/>
    </row>
    <row r="478" spans="8:8" x14ac:dyDescent="0.3">
      <c r="H478" s="43"/>
    </row>
    <row r="479" spans="8:8" x14ac:dyDescent="0.3">
      <c r="H479" s="43"/>
    </row>
    <row r="480" spans="8:8" x14ac:dyDescent="0.3">
      <c r="H480" s="43"/>
    </row>
    <row r="481" spans="8:8" x14ac:dyDescent="0.3">
      <c r="H481" s="43"/>
    </row>
    <row r="482" spans="8:8" x14ac:dyDescent="0.3">
      <c r="H482" s="43"/>
    </row>
    <row r="483" spans="8:8" x14ac:dyDescent="0.3">
      <c r="H483" s="43"/>
    </row>
    <row r="484" spans="8:8" x14ac:dyDescent="0.3">
      <c r="H484" s="43"/>
    </row>
    <row r="485" spans="8:8" x14ac:dyDescent="0.3">
      <c r="H485" s="43"/>
    </row>
    <row r="486" spans="8:8" x14ac:dyDescent="0.3">
      <c r="H486" s="43"/>
    </row>
    <row r="487" spans="8:8" x14ac:dyDescent="0.3">
      <c r="H487" s="43"/>
    </row>
    <row r="488" spans="8:8" x14ac:dyDescent="0.3">
      <c r="H488" s="43"/>
    </row>
    <row r="489" spans="8:8" x14ac:dyDescent="0.3">
      <c r="H489" s="43"/>
    </row>
    <row r="490" spans="8:8" x14ac:dyDescent="0.3">
      <c r="H490" s="43"/>
    </row>
    <row r="491" spans="8:8" x14ac:dyDescent="0.3">
      <c r="H491" s="43"/>
    </row>
    <row r="492" spans="8:8" x14ac:dyDescent="0.3">
      <c r="H492" s="43"/>
    </row>
    <row r="493" spans="8:8" x14ac:dyDescent="0.3">
      <c r="H493" s="43"/>
    </row>
    <row r="494" spans="8:8" x14ac:dyDescent="0.3">
      <c r="H494" s="43"/>
    </row>
    <row r="495" spans="8:8" x14ac:dyDescent="0.3">
      <c r="H495" s="43"/>
    </row>
    <row r="496" spans="8:8" x14ac:dyDescent="0.3">
      <c r="H496" s="43"/>
    </row>
    <row r="497" spans="8:8" x14ac:dyDescent="0.3">
      <c r="H497" s="43"/>
    </row>
    <row r="498" spans="8:8" x14ac:dyDescent="0.3">
      <c r="H498" s="43"/>
    </row>
    <row r="499" spans="8:8" x14ac:dyDescent="0.3">
      <c r="H499" s="43"/>
    </row>
    <row r="500" spans="8:8" x14ac:dyDescent="0.3">
      <c r="H500" s="43"/>
    </row>
    <row r="501" spans="8:8" x14ac:dyDescent="0.3">
      <c r="H501" s="43"/>
    </row>
    <row r="502" spans="8:8" x14ac:dyDescent="0.3">
      <c r="H502" s="43"/>
    </row>
    <row r="503" spans="8:8" x14ac:dyDescent="0.3">
      <c r="H503" s="43"/>
    </row>
    <row r="504" spans="8:8" x14ac:dyDescent="0.3">
      <c r="H504" s="43"/>
    </row>
    <row r="505" spans="8:8" x14ac:dyDescent="0.3">
      <c r="H505" s="43"/>
    </row>
    <row r="506" spans="8:8" x14ac:dyDescent="0.3">
      <c r="H506" s="43"/>
    </row>
    <row r="507" spans="8:8" x14ac:dyDescent="0.3">
      <c r="H507" s="43"/>
    </row>
    <row r="508" spans="8:8" x14ac:dyDescent="0.3">
      <c r="H508" s="43"/>
    </row>
    <row r="509" spans="8:8" x14ac:dyDescent="0.3">
      <c r="H509" s="43"/>
    </row>
    <row r="510" spans="8:8" x14ac:dyDescent="0.3">
      <c r="H510" s="43"/>
    </row>
    <row r="511" spans="8:8" x14ac:dyDescent="0.3">
      <c r="H511" s="43"/>
    </row>
    <row r="512" spans="8:8" x14ac:dyDescent="0.3">
      <c r="H512" s="43"/>
    </row>
    <row r="513" spans="8:8" x14ac:dyDescent="0.3">
      <c r="H513" s="43"/>
    </row>
    <row r="514" spans="8:8" x14ac:dyDescent="0.3">
      <c r="H514" s="43"/>
    </row>
    <row r="515" spans="8:8" x14ac:dyDescent="0.3">
      <c r="H515" s="43"/>
    </row>
    <row r="516" spans="8:8" x14ac:dyDescent="0.3">
      <c r="H516" s="43"/>
    </row>
    <row r="517" spans="8:8" x14ac:dyDescent="0.3">
      <c r="H517" s="43"/>
    </row>
    <row r="518" spans="8:8" x14ac:dyDescent="0.3">
      <c r="H518" s="43"/>
    </row>
    <row r="519" spans="8:8" x14ac:dyDescent="0.3">
      <c r="H519" s="43"/>
    </row>
    <row r="520" spans="8:8" x14ac:dyDescent="0.3">
      <c r="H520" s="43"/>
    </row>
    <row r="521" spans="8:8" x14ac:dyDescent="0.3">
      <c r="H521" s="43"/>
    </row>
    <row r="522" spans="8:8" x14ac:dyDescent="0.3">
      <c r="H522" s="43"/>
    </row>
    <row r="523" spans="8:8" x14ac:dyDescent="0.3">
      <c r="H523" s="43"/>
    </row>
    <row r="524" spans="8:8" x14ac:dyDescent="0.3">
      <c r="H524" s="43"/>
    </row>
    <row r="525" spans="8:8" x14ac:dyDescent="0.3">
      <c r="H525" s="43"/>
    </row>
    <row r="526" spans="8:8" x14ac:dyDescent="0.3">
      <c r="H526" s="43"/>
    </row>
    <row r="527" spans="8:8" x14ac:dyDescent="0.3">
      <c r="H527" s="43"/>
    </row>
    <row r="528" spans="8:8" x14ac:dyDescent="0.3">
      <c r="H528" s="43"/>
    </row>
    <row r="529" spans="8:8" x14ac:dyDescent="0.3">
      <c r="H529" s="43"/>
    </row>
    <row r="530" spans="8:8" x14ac:dyDescent="0.3">
      <c r="H530" s="43"/>
    </row>
    <row r="531" spans="8:8" x14ac:dyDescent="0.3">
      <c r="H531" s="43"/>
    </row>
    <row r="532" spans="8:8" x14ac:dyDescent="0.3">
      <c r="H532" s="43"/>
    </row>
    <row r="533" spans="8:8" x14ac:dyDescent="0.3">
      <c r="H533" s="43"/>
    </row>
    <row r="534" spans="8:8" x14ac:dyDescent="0.3">
      <c r="H534" s="43"/>
    </row>
    <row r="535" spans="8:8" x14ac:dyDescent="0.3">
      <c r="H535" s="43"/>
    </row>
    <row r="536" spans="8:8" x14ac:dyDescent="0.3">
      <c r="H536" s="43"/>
    </row>
    <row r="537" spans="8:8" x14ac:dyDescent="0.3">
      <c r="H537" s="43"/>
    </row>
    <row r="538" spans="8:8" x14ac:dyDescent="0.3">
      <c r="H538" s="43"/>
    </row>
    <row r="539" spans="8:8" x14ac:dyDescent="0.3">
      <c r="H539" s="43"/>
    </row>
    <row r="540" spans="8:8" x14ac:dyDescent="0.3">
      <c r="H540" s="43"/>
    </row>
    <row r="541" spans="8:8" x14ac:dyDescent="0.3">
      <c r="H541" s="43"/>
    </row>
    <row r="542" spans="8:8" x14ac:dyDescent="0.3">
      <c r="H542" s="43"/>
    </row>
    <row r="543" spans="8:8" x14ac:dyDescent="0.3">
      <c r="H543" s="43"/>
    </row>
    <row r="544" spans="8:8" x14ac:dyDescent="0.3">
      <c r="H544" s="43"/>
    </row>
    <row r="545" spans="8:8" x14ac:dyDescent="0.3">
      <c r="H545" s="43"/>
    </row>
    <row r="546" spans="8:8" x14ac:dyDescent="0.3">
      <c r="H546" s="43"/>
    </row>
    <row r="547" spans="8:8" x14ac:dyDescent="0.3">
      <c r="H547" s="43"/>
    </row>
    <row r="548" spans="8:8" x14ac:dyDescent="0.3">
      <c r="H548" s="43"/>
    </row>
    <row r="549" spans="8:8" x14ac:dyDescent="0.3">
      <c r="H549" s="43"/>
    </row>
    <row r="550" spans="8:8" x14ac:dyDescent="0.3">
      <c r="H550" s="43"/>
    </row>
    <row r="551" spans="8:8" x14ac:dyDescent="0.3">
      <c r="H551" s="43"/>
    </row>
    <row r="552" spans="8:8" x14ac:dyDescent="0.3">
      <c r="H552" s="43"/>
    </row>
    <row r="553" spans="8:8" x14ac:dyDescent="0.3">
      <c r="H553" s="43"/>
    </row>
    <row r="554" spans="8:8" x14ac:dyDescent="0.3">
      <c r="H554" s="43"/>
    </row>
    <row r="555" spans="8:8" x14ac:dyDescent="0.3">
      <c r="H555" s="43"/>
    </row>
    <row r="556" spans="8:8" x14ac:dyDescent="0.3">
      <c r="H556" s="43"/>
    </row>
    <row r="557" spans="8:8" x14ac:dyDescent="0.3">
      <c r="H557" s="43"/>
    </row>
    <row r="558" spans="8:8" x14ac:dyDescent="0.3">
      <c r="H558" s="43"/>
    </row>
    <row r="559" spans="8:8" x14ac:dyDescent="0.3">
      <c r="H559" s="43"/>
    </row>
    <row r="560" spans="8:8" x14ac:dyDescent="0.3">
      <c r="H560" s="43"/>
    </row>
    <row r="561" spans="8:8" x14ac:dyDescent="0.3">
      <c r="H561" s="43"/>
    </row>
    <row r="562" spans="8:8" x14ac:dyDescent="0.3">
      <c r="H562" s="43"/>
    </row>
    <row r="563" spans="8:8" x14ac:dyDescent="0.3">
      <c r="H563" s="43"/>
    </row>
    <row r="564" spans="8:8" x14ac:dyDescent="0.3">
      <c r="H564" s="43"/>
    </row>
    <row r="565" spans="8:8" x14ac:dyDescent="0.3">
      <c r="H565" s="43"/>
    </row>
    <row r="566" spans="8:8" x14ac:dyDescent="0.3">
      <c r="H566" s="43"/>
    </row>
    <row r="567" spans="8:8" x14ac:dyDescent="0.3">
      <c r="H567" s="43"/>
    </row>
    <row r="568" spans="8:8" x14ac:dyDescent="0.3">
      <c r="H568" s="43"/>
    </row>
    <row r="569" spans="8:8" x14ac:dyDescent="0.3">
      <c r="H569" s="43"/>
    </row>
    <row r="570" spans="8:8" x14ac:dyDescent="0.3">
      <c r="H570" s="43"/>
    </row>
    <row r="571" spans="8:8" x14ac:dyDescent="0.3">
      <c r="H571" s="43"/>
    </row>
    <row r="572" spans="8:8" x14ac:dyDescent="0.3">
      <c r="H572" s="43"/>
    </row>
    <row r="573" spans="8:8" x14ac:dyDescent="0.3">
      <c r="H573" s="43"/>
    </row>
    <row r="574" spans="8:8" x14ac:dyDescent="0.3">
      <c r="H574" s="43"/>
    </row>
    <row r="575" spans="8:8" x14ac:dyDescent="0.3">
      <c r="H575" s="43"/>
    </row>
    <row r="576" spans="8:8" x14ac:dyDescent="0.3">
      <c r="H576" s="43"/>
    </row>
    <row r="577" spans="8:8" x14ac:dyDescent="0.3">
      <c r="H577" s="43"/>
    </row>
    <row r="578" spans="8:8" x14ac:dyDescent="0.3">
      <c r="H578" s="43"/>
    </row>
    <row r="579" spans="8:8" x14ac:dyDescent="0.3">
      <c r="H579" s="43"/>
    </row>
    <row r="580" spans="8:8" x14ac:dyDescent="0.3">
      <c r="H580" s="43"/>
    </row>
    <row r="581" spans="8:8" x14ac:dyDescent="0.3">
      <c r="H581" s="43"/>
    </row>
    <row r="582" spans="8:8" x14ac:dyDescent="0.3">
      <c r="H582" s="43"/>
    </row>
    <row r="583" spans="8:8" x14ac:dyDescent="0.3">
      <c r="H583" s="43"/>
    </row>
    <row r="584" spans="8:8" x14ac:dyDescent="0.3">
      <c r="H584" s="43"/>
    </row>
    <row r="585" spans="8:8" x14ac:dyDescent="0.3">
      <c r="H585" s="43"/>
    </row>
    <row r="586" spans="8:8" x14ac:dyDescent="0.3">
      <c r="H586" s="43"/>
    </row>
    <row r="587" spans="8:8" x14ac:dyDescent="0.3">
      <c r="H587" s="43"/>
    </row>
    <row r="588" spans="8:8" x14ac:dyDescent="0.3">
      <c r="H588" s="43"/>
    </row>
    <row r="589" spans="8:8" x14ac:dyDescent="0.3">
      <c r="H589" s="43"/>
    </row>
    <row r="590" spans="8:8" x14ac:dyDescent="0.3">
      <c r="H590" s="43"/>
    </row>
    <row r="591" spans="8:8" x14ac:dyDescent="0.3">
      <c r="H591" s="43"/>
    </row>
    <row r="592" spans="8:8" x14ac:dyDescent="0.3">
      <c r="H592" s="43"/>
    </row>
    <row r="593" spans="8:8" x14ac:dyDescent="0.3">
      <c r="H593" s="43"/>
    </row>
    <row r="594" spans="8:8" x14ac:dyDescent="0.3">
      <c r="H594" s="43"/>
    </row>
    <row r="595" spans="8:8" x14ac:dyDescent="0.3">
      <c r="H595" s="43"/>
    </row>
    <row r="596" spans="8:8" x14ac:dyDescent="0.3">
      <c r="H596" s="43"/>
    </row>
    <row r="597" spans="8:8" x14ac:dyDescent="0.3">
      <c r="H597" s="43"/>
    </row>
    <row r="598" spans="8:8" x14ac:dyDescent="0.3">
      <c r="H598" s="43"/>
    </row>
    <row r="599" spans="8:8" x14ac:dyDescent="0.3">
      <c r="H599" s="43"/>
    </row>
    <row r="600" spans="8:8" x14ac:dyDescent="0.3">
      <c r="H600" s="43"/>
    </row>
    <row r="601" spans="8:8" x14ac:dyDescent="0.3">
      <c r="H601" s="43"/>
    </row>
    <row r="602" spans="8:8" x14ac:dyDescent="0.3">
      <c r="H602" s="43"/>
    </row>
    <row r="603" spans="8:8" x14ac:dyDescent="0.3">
      <c r="H603" s="43"/>
    </row>
    <row r="604" spans="8:8" x14ac:dyDescent="0.3">
      <c r="H604" s="43"/>
    </row>
    <row r="605" spans="8:8" x14ac:dyDescent="0.3">
      <c r="H605" s="43"/>
    </row>
    <row r="606" spans="8:8" x14ac:dyDescent="0.3">
      <c r="H606" s="43"/>
    </row>
    <row r="607" spans="8:8" x14ac:dyDescent="0.3">
      <c r="H607" s="43"/>
    </row>
    <row r="608" spans="8:8" x14ac:dyDescent="0.3">
      <c r="H608" s="43"/>
    </row>
    <row r="609" spans="8:8" x14ac:dyDescent="0.3">
      <c r="H609" s="43"/>
    </row>
    <row r="610" spans="8:8" x14ac:dyDescent="0.3">
      <c r="H610" s="43"/>
    </row>
    <row r="611" spans="8:8" x14ac:dyDescent="0.3">
      <c r="H611" s="43"/>
    </row>
    <row r="612" spans="8:8" x14ac:dyDescent="0.3">
      <c r="H612" s="43"/>
    </row>
    <row r="613" spans="8:8" x14ac:dyDescent="0.3">
      <c r="H613" s="43"/>
    </row>
    <row r="614" spans="8:8" x14ac:dyDescent="0.3">
      <c r="H614" s="43"/>
    </row>
    <row r="615" spans="8:8" x14ac:dyDescent="0.3">
      <c r="H615" s="43"/>
    </row>
    <row r="616" spans="8:8" x14ac:dyDescent="0.3">
      <c r="H616" s="43"/>
    </row>
    <row r="617" spans="8:8" x14ac:dyDescent="0.3">
      <c r="H617" s="43"/>
    </row>
    <row r="618" spans="8:8" x14ac:dyDescent="0.3">
      <c r="H618" s="43"/>
    </row>
    <row r="619" spans="8:8" x14ac:dyDescent="0.3">
      <c r="H619" s="43"/>
    </row>
    <row r="620" spans="8:8" x14ac:dyDescent="0.3">
      <c r="H620" s="43"/>
    </row>
    <row r="621" spans="8:8" x14ac:dyDescent="0.3">
      <c r="H621" s="43"/>
    </row>
    <row r="622" spans="8:8" x14ac:dyDescent="0.3">
      <c r="H622" s="43"/>
    </row>
    <row r="623" spans="8:8" x14ac:dyDescent="0.3">
      <c r="H623" s="43"/>
    </row>
    <row r="624" spans="8:8" x14ac:dyDescent="0.3">
      <c r="H624" s="43"/>
    </row>
    <row r="625" spans="8:8" x14ac:dyDescent="0.3">
      <c r="H625" s="43"/>
    </row>
    <row r="626" spans="8:8" x14ac:dyDescent="0.3">
      <c r="H626" s="43"/>
    </row>
    <row r="627" spans="8:8" x14ac:dyDescent="0.3">
      <c r="H627" s="43"/>
    </row>
    <row r="628" spans="8:8" x14ac:dyDescent="0.3">
      <c r="H628" s="43"/>
    </row>
    <row r="629" spans="8:8" x14ac:dyDescent="0.3">
      <c r="H629" s="43"/>
    </row>
    <row r="630" spans="8:8" x14ac:dyDescent="0.3">
      <c r="H630" s="43"/>
    </row>
    <row r="631" spans="8:8" x14ac:dyDescent="0.3">
      <c r="H631" s="43"/>
    </row>
    <row r="632" spans="8:8" x14ac:dyDescent="0.3">
      <c r="H632" s="43"/>
    </row>
    <row r="633" spans="8:8" x14ac:dyDescent="0.3">
      <c r="H633" s="43"/>
    </row>
    <row r="634" spans="8:8" x14ac:dyDescent="0.3">
      <c r="H634" s="43"/>
    </row>
    <row r="635" spans="8:8" x14ac:dyDescent="0.3">
      <c r="H635" s="43"/>
    </row>
    <row r="636" spans="8:8" x14ac:dyDescent="0.3">
      <c r="H636" s="43"/>
    </row>
    <row r="637" spans="8:8" x14ac:dyDescent="0.3">
      <c r="H637" s="43"/>
    </row>
    <row r="638" spans="8:8" x14ac:dyDescent="0.3">
      <c r="H638" s="43"/>
    </row>
    <row r="639" spans="8:8" x14ac:dyDescent="0.3">
      <c r="H639" s="43"/>
    </row>
    <row r="640" spans="8:8" x14ac:dyDescent="0.3">
      <c r="H640" s="43"/>
    </row>
    <row r="641" spans="8:8" x14ac:dyDescent="0.3">
      <c r="H641" s="43"/>
    </row>
    <row r="642" spans="8:8" x14ac:dyDescent="0.3">
      <c r="H642" s="43"/>
    </row>
    <row r="643" spans="8:8" x14ac:dyDescent="0.3">
      <c r="H643" s="43"/>
    </row>
    <row r="644" spans="8:8" x14ac:dyDescent="0.3">
      <c r="H644" s="43"/>
    </row>
    <row r="645" spans="8:8" x14ac:dyDescent="0.3">
      <c r="H645" s="43"/>
    </row>
    <row r="646" spans="8:8" x14ac:dyDescent="0.3">
      <c r="H646" s="43"/>
    </row>
    <row r="647" spans="8:8" x14ac:dyDescent="0.3">
      <c r="H647" s="43"/>
    </row>
    <row r="648" spans="8:8" x14ac:dyDescent="0.3">
      <c r="H648" s="43"/>
    </row>
    <row r="649" spans="8:8" x14ac:dyDescent="0.3">
      <c r="H649" s="43"/>
    </row>
    <row r="650" spans="8:8" x14ac:dyDescent="0.3">
      <c r="H650" s="43"/>
    </row>
    <row r="651" spans="8:8" x14ac:dyDescent="0.3">
      <c r="H651" s="43"/>
    </row>
    <row r="652" spans="8:8" x14ac:dyDescent="0.3">
      <c r="H652" s="43"/>
    </row>
    <row r="653" spans="8:8" x14ac:dyDescent="0.3">
      <c r="H653" s="43"/>
    </row>
    <row r="654" spans="8:8" x14ac:dyDescent="0.3">
      <c r="H654" s="43"/>
    </row>
    <row r="655" spans="8:8" x14ac:dyDescent="0.3">
      <c r="H655" s="43"/>
    </row>
    <row r="656" spans="8:8" x14ac:dyDescent="0.3">
      <c r="H656" s="43"/>
    </row>
    <row r="657" spans="8:8" x14ac:dyDescent="0.3">
      <c r="H657" s="43"/>
    </row>
    <row r="658" spans="8:8" x14ac:dyDescent="0.3">
      <c r="H658" s="43"/>
    </row>
    <row r="659" spans="8:8" x14ac:dyDescent="0.3">
      <c r="H659" s="43"/>
    </row>
    <row r="660" spans="8:8" x14ac:dyDescent="0.3">
      <c r="H660" s="43"/>
    </row>
    <row r="661" spans="8:8" x14ac:dyDescent="0.3">
      <c r="H661" s="43"/>
    </row>
    <row r="662" spans="8:8" x14ac:dyDescent="0.3">
      <c r="H662" s="43"/>
    </row>
    <row r="663" spans="8:8" x14ac:dyDescent="0.3">
      <c r="H663" s="43"/>
    </row>
    <row r="664" spans="8:8" x14ac:dyDescent="0.3">
      <c r="H664" s="43"/>
    </row>
    <row r="665" spans="8:8" x14ac:dyDescent="0.3">
      <c r="H665" s="43"/>
    </row>
    <row r="666" spans="8:8" x14ac:dyDescent="0.3">
      <c r="H666" s="43"/>
    </row>
    <row r="667" spans="8:8" x14ac:dyDescent="0.3">
      <c r="H667" s="43"/>
    </row>
    <row r="668" spans="8:8" x14ac:dyDescent="0.3">
      <c r="H668" s="43"/>
    </row>
    <row r="669" spans="8:8" x14ac:dyDescent="0.3">
      <c r="H669" s="43"/>
    </row>
    <row r="670" spans="8:8" x14ac:dyDescent="0.3">
      <c r="H670" s="43"/>
    </row>
    <row r="671" spans="8:8" x14ac:dyDescent="0.3">
      <c r="H671" s="43"/>
    </row>
    <row r="672" spans="8:8" x14ac:dyDescent="0.3">
      <c r="H672" s="43"/>
    </row>
    <row r="673" spans="8:8" x14ac:dyDescent="0.3">
      <c r="H673" s="43"/>
    </row>
    <row r="674" spans="8:8" x14ac:dyDescent="0.3">
      <c r="H674" s="43"/>
    </row>
    <row r="675" spans="8:8" x14ac:dyDescent="0.3">
      <c r="H675" s="43"/>
    </row>
    <row r="676" spans="8:8" x14ac:dyDescent="0.3">
      <c r="H676" s="43"/>
    </row>
    <row r="677" spans="8:8" x14ac:dyDescent="0.3">
      <c r="H677" s="43"/>
    </row>
    <row r="678" spans="8:8" x14ac:dyDescent="0.3">
      <c r="H678" s="43"/>
    </row>
    <row r="679" spans="8:8" x14ac:dyDescent="0.3">
      <c r="H679" s="43"/>
    </row>
    <row r="680" spans="8:8" x14ac:dyDescent="0.3">
      <c r="H680" s="43"/>
    </row>
    <row r="681" spans="8:8" x14ac:dyDescent="0.3">
      <c r="H681" s="43"/>
    </row>
    <row r="682" spans="8:8" x14ac:dyDescent="0.3">
      <c r="H682" s="43"/>
    </row>
    <row r="683" spans="8:8" x14ac:dyDescent="0.3">
      <c r="H683" s="43"/>
    </row>
    <row r="684" spans="8:8" x14ac:dyDescent="0.3">
      <c r="H684" s="43"/>
    </row>
    <row r="685" spans="8:8" x14ac:dyDescent="0.3">
      <c r="H685" s="43"/>
    </row>
    <row r="686" spans="8:8" x14ac:dyDescent="0.3">
      <c r="H686" s="43"/>
    </row>
    <row r="687" spans="8:8" x14ac:dyDescent="0.3">
      <c r="H687" s="43"/>
    </row>
    <row r="688" spans="8:8" x14ac:dyDescent="0.3">
      <c r="H688" s="43"/>
    </row>
    <row r="689" spans="8:8" x14ac:dyDescent="0.3">
      <c r="H689" s="43"/>
    </row>
    <row r="690" spans="8:8" x14ac:dyDescent="0.3">
      <c r="H690" s="43"/>
    </row>
    <row r="691" spans="8:8" x14ac:dyDescent="0.3">
      <c r="H691" s="43"/>
    </row>
    <row r="692" spans="8:8" x14ac:dyDescent="0.3">
      <c r="H692" s="43"/>
    </row>
    <row r="693" spans="8:8" x14ac:dyDescent="0.3">
      <c r="H693" s="43"/>
    </row>
    <row r="694" spans="8:8" x14ac:dyDescent="0.3">
      <c r="H694" s="43"/>
    </row>
    <row r="695" spans="8:8" x14ac:dyDescent="0.3">
      <c r="H695" s="43"/>
    </row>
    <row r="696" spans="8:8" x14ac:dyDescent="0.3">
      <c r="H696" s="43"/>
    </row>
    <row r="697" spans="8:8" x14ac:dyDescent="0.3">
      <c r="H697" s="43"/>
    </row>
    <row r="698" spans="8:8" x14ac:dyDescent="0.3">
      <c r="H698" s="43"/>
    </row>
    <row r="699" spans="8:8" x14ac:dyDescent="0.3">
      <c r="H699" s="43"/>
    </row>
    <row r="700" spans="8:8" x14ac:dyDescent="0.3">
      <c r="H700" s="43"/>
    </row>
    <row r="701" spans="8:8" x14ac:dyDescent="0.3">
      <c r="H701" s="43"/>
    </row>
    <row r="702" spans="8:8" x14ac:dyDescent="0.3">
      <c r="H702" s="43"/>
    </row>
    <row r="703" spans="8:8" x14ac:dyDescent="0.3">
      <c r="H703" s="43"/>
    </row>
    <row r="704" spans="8:8" x14ac:dyDescent="0.3">
      <c r="H704" s="43"/>
    </row>
    <row r="705" spans="8:8" x14ac:dyDescent="0.3">
      <c r="H705" s="43"/>
    </row>
    <row r="706" spans="8:8" x14ac:dyDescent="0.3">
      <c r="H706" s="43"/>
    </row>
    <row r="707" spans="8:8" x14ac:dyDescent="0.3">
      <c r="H707" s="43"/>
    </row>
    <row r="708" spans="8:8" x14ac:dyDescent="0.3">
      <c r="H708" s="43"/>
    </row>
    <row r="709" spans="8:8" x14ac:dyDescent="0.3">
      <c r="H709" s="43"/>
    </row>
    <row r="710" spans="8:8" x14ac:dyDescent="0.3">
      <c r="H710" s="43"/>
    </row>
    <row r="711" spans="8:8" x14ac:dyDescent="0.3">
      <c r="H711" s="43"/>
    </row>
    <row r="712" spans="8:8" x14ac:dyDescent="0.3">
      <c r="H712" s="43"/>
    </row>
    <row r="713" spans="8:8" x14ac:dyDescent="0.3">
      <c r="H713" s="43"/>
    </row>
    <row r="714" spans="8:8" x14ac:dyDescent="0.3">
      <c r="H714" s="43"/>
    </row>
    <row r="715" spans="8:8" x14ac:dyDescent="0.3">
      <c r="H715" s="43"/>
    </row>
    <row r="716" spans="8:8" x14ac:dyDescent="0.3">
      <c r="H716" s="43"/>
    </row>
    <row r="717" spans="8:8" x14ac:dyDescent="0.3">
      <c r="H717" s="43"/>
    </row>
    <row r="718" spans="8:8" x14ac:dyDescent="0.3">
      <c r="H718" s="43"/>
    </row>
    <row r="719" spans="8:8" x14ac:dyDescent="0.3">
      <c r="H719" s="43"/>
    </row>
    <row r="720" spans="8:8" x14ac:dyDescent="0.3">
      <c r="H720" s="43"/>
    </row>
    <row r="721" spans="8:8" x14ac:dyDescent="0.3">
      <c r="H721" s="43"/>
    </row>
    <row r="722" spans="8:8" x14ac:dyDescent="0.3">
      <c r="H722" s="43"/>
    </row>
    <row r="723" spans="8:8" x14ac:dyDescent="0.3">
      <c r="H723" s="43"/>
    </row>
    <row r="724" spans="8:8" x14ac:dyDescent="0.3">
      <c r="H724" s="43"/>
    </row>
    <row r="725" spans="8:8" x14ac:dyDescent="0.3">
      <c r="H725" s="43"/>
    </row>
    <row r="726" spans="8:8" x14ac:dyDescent="0.3">
      <c r="H726" s="43"/>
    </row>
    <row r="727" spans="8:8" x14ac:dyDescent="0.3">
      <c r="H727" s="43"/>
    </row>
    <row r="728" spans="8:8" x14ac:dyDescent="0.3">
      <c r="H728" s="43"/>
    </row>
    <row r="729" spans="8:8" x14ac:dyDescent="0.3">
      <c r="H729" s="43"/>
    </row>
    <row r="730" spans="8:8" x14ac:dyDescent="0.3">
      <c r="H730" s="43"/>
    </row>
    <row r="731" spans="8:8" x14ac:dyDescent="0.3">
      <c r="H731" s="43"/>
    </row>
    <row r="732" spans="8:8" x14ac:dyDescent="0.3">
      <c r="H732" s="43"/>
    </row>
    <row r="733" spans="8:8" x14ac:dyDescent="0.3">
      <c r="H733" s="43"/>
    </row>
    <row r="734" spans="8:8" x14ac:dyDescent="0.3">
      <c r="H734" s="43"/>
    </row>
    <row r="735" spans="8:8" x14ac:dyDescent="0.3">
      <c r="H735" s="43"/>
    </row>
    <row r="736" spans="8:8" x14ac:dyDescent="0.3">
      <c r="H736" s="43"/>
    </row>
    <row r="737" spans="8:8" x14ac:dyDescent="0.3">
      <c r="H737" s="43"/>
    </row>
    <row r="738" spans="8:8" x14ac:dyDescent="0.3">
      <c r="H738" s="43"/>
    </row>
    <row r="739" spans="8:8" x14ac:dyDescent="0.3">
      <c r="H739" s="43"/>
    </row>
    <row r="740" spans="8:8" x14ac:dyDescent="0.3">
      <c r="H740" s="43"/>
    </row>
    <row r="741" spans="8:8" x14ac:dyDescent="0.3">
      <c r="H741" s="43"/>
    </row>
    <row r="742" spans="8:8" x14ac:dyDescent="0.3">
      <c r="H742" s="43"/>
    </row>
    <row r="743" spans="8:8" x14ac:dyDescent="0.3">
      <c r="H743" s="43"/>
    </row>
    <row r="744" spans="8:8" x14ac:dyDescent="0.3">
      <c r="H744" s="43"/>
    </row>
    <row r="745" spans="8:8" x14ac:dyDescent="0.3">
      <c r="H745" s="43"/>
    </row>
    <row r="746" spans="8:8" x14ac:dyDescent="0.3">
      <c r="H746" s="43"/>
    </row>
    <row r="747" spans="8:8" x14ac:dyDescent="0.3">
      <c r="H747" s="43"/>
    </row>
    <row r="748" spans="8:8" x14ac:dyDescent="0.3">
      <c r="H748" s="43"/>
    </row>
    <row r="749" spans="8:8" x14ac:dyDescent="0.3">
      <c r="H749" s="43"/>
    </row>
    <row r="750" spans="8:8" x14ac:dyDescent="0.3">
      <c r="H750" s="43"/>
    </row>
    <row r="751" spans="8:8" x14ac:dyDescent="0.3">
      <c r="H751" s="43"/>
    </row>
    <row r="752" spans="8:8" x14ac:dyDescent="0.3">
      <c r="H752" s="43"/>
    </row>
    <row r="753" spans="8:8" x14ac:dyDescent="0.3">
      <c r="H753" s="43"/>
    </row>
    <row r="754" spans="8:8" x14ac:dyDescent="0.3">
      <c r="H754" s="43"/>
    </row>
    <row r="755" spans="8:8" x14ac:dyDescent="0.3">
      <c r="H755" s="43"/>
    </row>
    <row r="756" spans="8:8" x14ac:dyDescent="0.3">
      <c r="H756" s="43"/>
    </row>
    <row r="757" spans="8:8" x14ac:dyDescent="0.3">
      <c r="H757" s="43"/>
    </row>
    <row r="758" spans="8:8" x14ac:dyDescent="0.3">
      <c r="H758" s="43"/>
    </row>
    <row r="759" spans="8:8" x14ac:dyDescent="0.3">
      <c r="H759" s="43"/>
    </row>
    <row r="760" spans="8:8" x14ac:dyDescent="0.3">
      <c r="H760" s="43"/>
    </row>
    <row r="761" spans="8:8" x14ac:dyDescent="0.3">
      <c r="H761" s="43"/>
    </row>
    <row r="762" spans="8:8" x14ac:dyDescent="0.3">
      <c r="H762" s="43"/>
    </row>
    <row r="763" spans="8:8" x14ac:dyDescent="0.3">
      <c r="H763" s="43"/>
    </row>
    <row r="764" spans="8:8" x14ac:dyDescent="0.3">
      <c r="H764" s="43"/>
    </row>
    <row r="765" spans="8:8" x14ac:dyDescent="0.3">
      <c r="H765" s="43"/>
    </row>
    <row r="766" spans="8:8" x14ac:dyDescent="0.3">
      <c r="H766" s="43"/>
    </row>
    <row r="767" spans="8:8" x14ac:dyDescent="0.3">
      <c r="H767" s="43"/>
    </row>
    <row r="768" spans="8:8" x14ac:dyDescent="0.3">
      <c r="H768" s="43"/>
    </row>
    <row r="769" spans="8:8" x14ac:dyDescent="0.3">
      <c r="H769" s="43"/>
    </row>
    <row r="770" spans="8:8" x14ac:dyDescent="0.3">
      <c r="H770" s="43"/>
    </row>
    <row r="771" spans="8:8" x14ac:dyDescent="0.3">
      <c r="H771" s="43"/>
    </row>
    <row r="772" spans="8:8" x14ac:dyDescent="0.3">
      <c r="H772" s="43"/>
    </row>
    <row r="773" spans="8:8" x14ac:dyDescent="0.3">
      <c r="H773" s="43"/>
    </row>
    <row r="774" spans="8:8" x14ac:dyDescent="0.3">
      <c r="H774" s="43"/>
    </row>
    <row r="775" spans="8:8" x14ac:dyDescent="0.3">
      <c r="H775" s="43"/>
    </row>
    <row r="776" spans="8:8" x14ac:dyDescent="0.3">
      <c r="H776" s="43"/>
    </row>
    <row r="777" spans="8:8" x14ac:dyDescent="0.3">
      <c r="H777" s="43"/>
    </row>
    <row r="778" spans="8:8" x14ac:dyDescent="0.3">
      <c r="H778" s="43"/>
    </row>
    <row r="779" spans="8:8" x14ac:dyDescent="0.3">
      <c r="H779" s="43"/>
    </row>
    <row r="780" spans="8:8" x14ac:dyDescent="0.3">
      <c r="H780" s="43"/>
    </row>
    <row r="781" spans="8:8" x14ac:dyDescent="0.3">
      <c r="H781" s="43"/>
    </row>
    <row r="782" spans="8:8" x14ac:dyDescent="0.3">
      <c r="H782" s="43"/>
    </row>
    <row r="783" spans="8:8" x14ac:dyDescent="0.3">
      <c r="H783" s="43"/>
    </row>
    <row r="784" spans="8:8" x14ac:dyDescent="0.3">
      <c r="H784" s="43"/>
    </row>
    <row r="785" spans="8:8" x14ac:dyDescent="0.3">
      <c r="H785" s="43"/>
    </row>
    <row r="786" spans="8:8" x14ac:dyDescent="0.3">
      <c r="H786" s="43"/>
    </row>
    <row r="787" spans="8:8" x14ac:dyDescent="0.3">
      <c r="H787" s="43"/>
    </row>
    <row r="788" spans="8:8" x14ac:dyDescent="0.3">
      <c r="H788" s="43"/>
    </row>
    <row r="789" spans="8:8" x14ac:dyDescent="0.3">
      <c r="H789" s="43"/>
    </row>
    <row r="790" spans="8:8" x14ac:dyDescent="0.3">
      <c r="H790" s="43"/>
    </row>
    <row r="791" spans="8:8" x14ac:dyDescent="0.3">
      <c r="H791" s="43"/>
    </row>
    <row r="792" spans="8:8" x14ac:dyDescent="0.3">
      <c r="H792" s="43"/>
    </row>
    <row r="793" spans="8:8" x14ac:dyDescent="0.3">
      <c r="H793" s="43"/>
    </row>
    <row r="794" spans="8:8" x14ac:dyDescent="0.3">
      <c r="H794" s="43"/>
    </row>
    <row r="795" spans="8:8" x14ac:dyDescent="0.3">
      <c r="H795" s="43"/>
    </row>
    <row r="796" spans="8:8" x14ac:dyDescent="0.3">
      <c r="H796" s="43"/>
    </row>
    <row r="797" spans="8:8" x14ac:dyDescent="0.3">
      <c r="H797" s="43"/>
    </row>
    <row r="798" spans="8:8" x14ac:dyDescent="0.3">
      <c r="H798" s="43"/>
    </row>
    <row r="799" spans="8:8" x14ac:dyDescent="0.3">
      <c r="H799" s="43"/>
    </row>
    <row r="800" spans="8:8" x14ac:dyDescent="0.3">
      <c r="H800" s="43"/>
    </row>
    <row r="801" spans="8:8" x14ac:dyDescent="0.3">
      <c r="H801" s="43"/>
    </row>
    <row r="802" spans="8:8" x14ac:dyDescent="0.3">
      <c r="H802" s="43"/>
    </row>
    <row r="803" spans="8:8" x14ac:dyDescent="0.3">
      <c r="H803" s="43"/>
    </row>
    <row r="804" spans="8:8" x14ac:dyDescent="0.3">
      <c r="H804" s="43"/>
    </row>
    <row r="805" spans="8:8" x14ac:dyDescent="0.3">
      <c r="H805" s="43"/>
    </row>
    <row r="806" spans="8:8" x14ac:dyDescent="0.3">
      <c r="H806" s="43"/>
    </row>
    <row r="807" spans="8:8" x14ac:dyDescent="0.3">
      <c r="H807" s="43"/>
    </row>
    <row r="808" spans="8:8" x14ac:dyDescent="0.3">
      <c r="H808" s="43"/>
    </row>
    <row r="809" spans="8:8" x14ac:dyDescent="0.3">
      <c r="H809" s="43"/>
    </row>
    <row r="810" spans="8:8" x14ac:dyDescent="0.3">
      <c r="H810" s="43"/>
    </row>
    <row r="811" spans="8:8" x14ac:dyDescent="0.3">
      <c r="H811" s="43"/>
    </row>
    <row r="812" spans="8:8" x14ac:dyDescent="0.3">
      <c r="H812" s="43"/>
    </row>
    <row r="813" spans="8:8" x14ac:dyDescent="0.3">
      <c r="H813" s="43"/>
    </row>
    <row r="814" spans="8:8" x14ac:dyDescent="0.3">
      <c r="H814" s="43"/>
    </row>
    <row r="815" spans="8:8" x14ac:dyDescent="0.3">
      <c r="H815" s="43"/>
    </row>
    <row r="816" spans="8:8" x14ac:dyDescent="0.3">
      <c r="H816" s="43"/>
    </row>
    <row r="817" spans="8:8" x14ac:dyDescent="0.3">
      <c r="H817" s="43"/>
    </row>
    <row r="818" spans="8:8" x14ac:dyDescent="0.3">
      <c r="H818" s="43"/>
    </row>
    <row r="819" spans="8:8" x14ac:dyDescent="0.3">
      <c r="H819" s="43"/>
    </row>
    <row r="820" spans="8:8" x14ac:dyDescent="0.3">
      <c r="H820" s="43"/>
    </row>
    <row r="821" spans="8:8" x14ac:dyDescent="0.3">
      <c r="H821" s="43"/>
    </row>
    <row r="822" spans="8:8" x14ac:dyDescent="0.3">
      <c r="H822" s="43"/>
    </row>
    <row r="823" spans="8:8" x14ac:dyDescent="0.3">
      <c r="H823" s="43"/>
    </row>
    <row r="824" spans="8:8" x14ac:dyDescent="0.3">
      <c r="H824" s="43"/>
    </row>
    <row r="825" spans="8:8" x14ac:dyDescent="0.3">
      <c r="H825" s="43"/>
    </row>
    <row r="826" spans="8:8" x14ac:dyDescent="0.3">
      <c r="H826" s="43"/>
    </row>
    <row r="827" spans="8:8" x14ac:dyDescent="0.3">
      <c r="H827" s="43"/>
    </row>
    <row r="828" spans="8:8" x14ac:dyDescent="0.3">
      <c r="H828" s="43"/>
    </row>
    <row r="829" spans="8:8" x14ac:dyDescent="0.3">
      <c r="H829" s="43"/>
    </row>
    <row r="830" spans="8:8" x14ac:dyDescent="0.3">
      <c r="H830" s="43"/>
    </row>
    <row r="831" spans="8:8" x14ac:dyDescent="0.3">
      <c r="H831" s="43"/>
    </row>
    <row r="832" spans="8:8" x14ac:dyDescent="0.3">
      <c r="H832" s="43"/>
    </row>
    <row r="833" spans="8:8" x14ac:dyDescent="0.3">
      <c r="H833" s="43"/>
    </row>
    <row r="834" spans="8:8" x14ac:dyDescent="0.3">
      <c r="H834" s="43"/>
    </row>
    <row r="835" spans="8:8" x14ac:dyDescent="0.3">
      <c r="H835" s="43"/>
    </row>
    <row r="836" spans="8:8" x14ac:dyDescent="0.3">
      <c r="H836" s="43"/>
    </row>
    <row r="837" spans="8:8" x14ac:dyDescent="0.3">
      <c r="H837" s="43"/>
    </row>
    <row r="838" spans="8:8" x14ac:dyDescent="0.3">
      <c r="H838" s="43"/>
    </row>
    <row r="839" spans="8:8" x14ac:dyDescent="0.3">
      <c r="H839" s="43"/>
    </row>
    <row r="840" spans="8:8" x14ac:dyDescent="0.3">
      <c r="H840" s="43"/>
    </row>
    <row r="841" spans="8:8" x14ac:dyDescent="0.3">
      <c r="H841" s="43"/>
    </row>
    <row r="842" spans="8:8" x14ac:dyDescent="0.3">
      <c r="H842" s="43"/>
    </row>
    <row r="843" spans="8:8" x14ac:dyDescent="0.3">
      <c r="H843" s="43"/>
    </row>
    <row r="844" spans="8:8" x14ac:dyDescent="0.3">
      <c r="H844" s="43"/>
    </row>
    <row r="845" spans="8:8" x14ac:dyDescent="0.3">
      <c r="H845" s="43"/>
    </row>
    <row r="846" spans="8:8" x14ac:dyDescent="0.3">
      <c r="H846" s="43"/>
    </row>
    <row r="847" spans="8:8" x14ac:dyDescent="0.3">
      <c r="H847" s="43"/>
    </row>
    <row r="848" spans="8:8" x14ac:dyDescent="0.3">
      <c r="H848" s="43"/>
    </row>
    <row r="849" spans="8:8" x14ac:dyDescent="0.3">
      <c r="H849" s="43"/>
    </row>
    <row r="850" spans="8:8" x14ac:dyDescent="0.3">
      <c r="H850" s="43"/>
    </row>
    <row r="851" spans="8:8" x14ac:dyDescent="0.3">
      <c r="H851" s="43"/>
    </row>
    <row r="852" spans="8:8" x14ac:dyDescent="0.3">
      <c r="H852" s="43"/>
    </row>
    <row r="853" spans="8:8" x14ac:dyDescent="0.3">
      <c r="H853" s="43"/>
    </row>
    <row r="854" spans="8:8" x14ac:dyDescent="0.3">
      <c r="H854" s="43"/>
    </row>
    <row r="855" spans="8:8" x14ac:dyDescent="0.3">
      <c r="H855" s="43"/>
    </row>
    <row r="856" spans="8:8" x14ac:dyDescent="0.3">
      <c r="H856" s="43"/>
    </row>
    <row r="857" spans="8:8" x14ac:dyDescent="0.3">
      <c r="H857" s="43"/>
    </row>
    <row r="858" spans="8:8" x14ac:dyDescent="0.3">
      <c r="H858" s="43"/>
    </row>
    <row r="859" spans="8:8" x14ac:dyDescent="0.3">
      <c r="H859" s="43"/>
    </row>
    <row r="860" spans="8:8" x14ac:dyDescent="0.3">
      <c r="H860" s="43"/>
    </row>
    <row r="861" spans="8:8" x14ac:dyDescent="0.3">
      <c r="H861" s="43"/>
    </row>
    <row r="862" spans="8:8" x14ac:dyDescent="0.3">
      <c r="H862" s="43"/>
    </row>
    <row r="863" spans="8:8" x14ac:dyDescent="0.3">
      <c r="H863" s="43"/>
    </row>
    <row r="864" spans="8:8" x14ac:dyDescent="0.3">
      <c r="H864" s="43"/>
    </row>
    <row r="865" spans="8:8" x14ac:dyDescent="0.3">
      <c r="H865" s="43"/>
    </row>
    <row r="866" spans="8:8" x14ac:dyDescent="0.3">
      <c r="H866" s="43"/>
    </row>
    <row r="867" spans="8:8" x14ac:dyDescent="0.3">
      <c r="H867" s="43"/>
    </row>
    <row r="868" spans="8:8" x14ac:dyDescent="0.3">
      <c r="H868" s="43"/>
    </row>
    <row r="869" spans="8:8" x14ac:dyDescent="0.3">
      <c r="H869" s="43"/>
    </row>
    <row r="870" spans="8:8" x14ac:dyDescent="0.3">
      <c r="H870" s="43"/>
    </row>
    <row r="871" spans="8:8" x14ac:dyDescent="0.3">
      <c r="H871" s="43"/>
    </row>
    <row r="872" spans="8:8" x14ac:dyDescent="0.3">
      <c r="H872" s="43"/>
    </row>
    <row r="873" spans="8:8" x14ac:dyDescent="0.3">
      <c r="H873" s="43"/>
    </row>
    <row r="874" spans="8:8" x14ac:dyDescent="0.3">
      <c r="H874" s="43"/>
    </row>
    <row r="875" spans="8:8" x14ac:dyDescent="0.3">
      <c r="H875" s="43"/>
    </row>
    <row r="876" spans="8:8" x14ac:dyDescent="0.3">
      <c r="H876" s="43"/>
    </row>
    <row r="877" spans="8:8" x14ac:dyDescent="0.3">
      <c r="H877" s="43"/>
    </row>
    <row r="878" spans="8:8" x14ac:dyDescent="0.3">
      <c r="H878" s="43"/>
    </row>
    <row r="879" spans="8:8" x14ac:dyDescent="0.3">
      <c r="H879" s="43"/>
    </row>
    <row r="880" spans="8:8" x14ac:dyDescent="0.3">
      <c r="H880" s="43"/>
    </row>
    <row r="881" spans="8:8" x14ac:dyDescent="0.3">
      <c r="H881" s="43"/>
    </row>
    <row r="882" spans="8:8" x14ac:dyDescent="0.3">
      <c r="H882" s="43"/>
    </row>
    <row r="883" spans="8:8" x14ac:dyDescent="0.3">
      <c r="H883" s="43"/>
    </row>
    <row r="884" spans="8:8" x14ac:dyDescent="0.3">
      <c r="H884" s="43"/>
    </row>
    <row r="885" spans="8:8" x14ac:dyDescent="0.3">
      <c r="H885" s="43"/>
    </row>
    <row r="886" spans="8:8" x14ac:dyDescent="0.3">
      <c r="H886" s="43"/>
    </row>
    <row r="887" spans="8:8" x14ac:dyDescent="0.3">
      <c r="H887" s="43"/>
    </row>
    <row r="888" spans="8:8" x14ac:dyDescent="0.3">
      <c r="H888" s="43"/>
    </row>
    <row r="889" spans="8:8" x14ac:dyDescent="0.3">
      <c r="H889" s="43"/>
    </row>
    <row r="890" spans="8:8" x14ac:dyDescent="0.3">
      <c r="H890" s="43"/>
    </row>
    <row r="891" spans="8:8" x14ac:dyDescent="0.3">
      <c r="H891" s="43"/>
    </row>
    <row r="892" spans="8:8" x14ac:dyDescent="0.3">
      <c r="H892" s="43"/>
    </row>
    <row r="893" spans="8:8" x14ac:dyDescent="0.3">
      <c r="H893" s="43"/>
    </row>
    <row r="894" spans="8:8" x14ac:dyDescent="0.3">
      <c r="H894" s="43"/>
    </row>
    <row r="895" spans="8:8" x14ac:dyDescent="0.3">
      <c r="H895" s="43"/>
    </row>
    <row r="896" spans="8:8" x14ac:dyDescent="0.3">
      <c r="H896" s="43"/>
    </row>
    <row r="897" spans="8:8" x14ac:dyDescent="0.3">
      <c r="H897" s="43"/>
    </row>
    <row r="898" spans="8:8" x14ac:dyDescent="0.3">
      <c r="H898" s="43"/>
    </row>
    <row r="899" spans="8:8" x14ac:dyDescent="0.3">
      <c r="H899" s="43"/>
    </row>
    <row r="900" spans="8:8" x14ac:dyDescent="0.3">
      <c r="H900" s="43"/>
    </row>
    <row r="901" spans="8:8" x14ac:dyDescent="0.3">
      <c r="H901" s="43"/>
    </row>
    <row r="902" spans="8:8" x14ac:dyDescent="0.3">
      <c r="H902" s="43"/>
    </row>
    <row r="903" spans="8:8" x14ac:dyDescent="0.3">
      <c r="H903" s="43"/>
    </row>
    <row r="904" spans="8:8" x14ac:dyDescent="0.3">
      <c r="H904" s="43"/>
    </row>
    <row r="905" spans="8:8" x14ac:dyDescent="0.3">
      <c r="H905" s="43"/>
    </row>
    <row r="906" spans="8:8" x14ac:dyDescent="0.3">
      <c r="H906" s="43"/>
    </row>
    <row r="907" spans="8:8" x14ac:dyDescent="0.3">
      <c r="H907" s="43"/>
    </row>
    <row r="908" spans="8:8" x14ac:dyDescent="0.3">
      <c r="H908" s="43"/>
    </row>
    <row r="909" spans="8:8" x14ac:dyDescent="0.3">
      <c r="H909" s="43"/>
    </row>
    <row r="910" spans="8:8" x14ac:dyDescent="0.3">
      <c r="H910" s="43"/>
    </row>
    <row r="911" spans="8:8" x14ac:dyDescent="0.3">
      <c r="H911" s="43"/>
    </row>
    <row r="912" spans="8:8" x14ac:dyDescent="0.3">
      <c r="H912" s="43"/>
    </row>
    <row r="913" spans="8:8" x14ac:dyDescent="0.3">
      <c r="H913" s="43"/>
    </row>
    <row r="914" spans="8:8" x14ac:dyDescent="0.3">
      <c r="H914" s="43"/>
    </row>
    <row r="915" spans="8:8" x14ac:dyDescent="0.3">
      <c r="H915" s="43"/>
    </row>
    <row r="916" spans="8:8" x14ac:dyDescent="0.3">
      <c r="H916" s="43"/>
    </row>
    <row r="917" spans="8:8" x14ac:dyDescent="0.3">
      <c r="H917" s="43"/>
    </row>
    <row r="918" spans="8:8" x14ac:dyDescent="0.3">
      <c r="H918" s="43"/>
    </row>
    <row r="919" spans="8:8" x14ac:dyDescent="0.3">
      <c r="H919" s="43"/>
    </row>
    <row r="920" spans="8:8" x14ac:dyDescent="0.3">
      <c r="H920" s="43"/>
    </row>
    <row r="921" spans="8:8" x14ac:dyDescent="0.3">
      <c r="H921" s="43"/>
    </row>
    <row r="922" spans="8:8" x14ac:dyDescent="0.3">
      <c r="H922" s="43"/>
    </row>
    <row r="923" spans="8:8" x14ac:dyDescent="0.3">
      <c r="H923" s="43"/>
    </row>
    <row r="924" spans="8:8" x14ac:dyDescent="0.3">
      <c r="H924" s="43"/>
    </row>
    <row r="925" spans="8:8" x14ac:dyDescent="0.3">
      <c r="H925" s="43"/>
    </row>
    <row r="926" spans="8:8" x14ac:dyDescent="0.3">
      <c r="H926" s="43"/>
    </row>
    <row r="927" spans="8:8" x14ac:dyDescent="0.3">
      <c r="H927" s="43"/>
    </row>
    <row r="928" spans="8:8" x14ac:dyDescent="0.3">
      <c r="H928" s="43"/>
    </row>
    <row r="929" spans="8:8" x14ac:dyDescent="0.3">
      <c r="H929" s="43"/>
    </row>
    <row r="930" spans="8:8" x14ac:dyDescent="0.3">
      <c r="H930" s="43"/>
    </row>
    <row r="931" spans="8:8" x14ac:dyDescent="0.3">
      <c r="H931" s="43"/>
    </row>
    <row r="932" spans="8:8" x14ac:dyDescent="0.3">
      <c r="H932" s="43"/>
    </row>
    <row r="933" spans="8:8" x14ac:dyDescent="0.3">
      <c r="H933" s="43"/>
    </row>
    <row r="934" spans="8:8" x14ac:dyDescent="0.3">
      <c r="H934" s="43"/>
    </row>
    <row r="935" spans="8:8" x14ac:dyDescent="0.3">
      <c r="H935" s="43"/>
    </row>
    <row r="936" spans="8:8" x14ac:dyDescent="0.3">
      <c r="H936" s="43"/>
    </row>
    <row r="937" spans="8:8" x14ac:dyDescent="0.3">
      <c r="H937" s="43"/>
    </row>
    <row r="938" spans="8:8" x14ac:dyDescent="0.3">
      <c r="H938" s="43"/>
    </row>
    <row r="939" spans="8:8" x14ac:dyDescent="0.3">
      <c r="H939" s="43"/>
    </row>
    <row r="940" spans="8:8" x14ac:dyDescent="0.3">
      <c r="H940" s="43"/>
    </row>
    <row r="941" spans="8:8" x14ac:dyDescent="0.3">
      <c r="H941" s="43"/>
    </row>
    <row r="942" spans="8:8" x14ac:dyDescent="0.3">
      <c r="H942" s="43"/>
    </row>
    <row r="943" spans="8:8" x14ac:dyDescent="0.3">
      <c r="H943" s="43"/>
    </row>
    <row r="944" spans="8:8" x14ac:dyDescent="0.3">
      <c r="H944" s="43"/>
    </row>
    <row r="945" spans="8:8" x14ac:dyDescent="0.3">
      <c r="H945" s="43"/>
    </row>
    <row r="946" spans="8:8" x14ac:dyDescent="0.3">
      <c r="H946" s="43"/>
    </row>
    <row r="947" spans="8:8" x14ac:dyDescent="0.3">
      <c r="H947" s="43"/>
    </row>
    <row r="948" spans="8:8" x14ac:dyDescent="0.3">
      <c r="H948" s="43"/>
    </row>
    <row r="949" spans="8:8" x14ac:dyDescent="0.3">
      <c r="H949" s="43"/>
    </row>
    <row r="950" spans="8:8" x14ac:dyDescent="0.3">
      <c r="H950" s="43"/>
    </row>
    <row r="951" spans="8:8" x14ac:dyDescent="0.3">
      <c r="H951" s="43"/>
    </row>
    <row r="952" spans="8:8" x14ac:dyDescent="0.3">
      <c r="H952" s="43"/>
    </row>
    <row r="953" spans="8:8" x14ac:dyDescent="0.3">
      <c r="H953" s="43"/>
    </row>
    <row r="954" spans="8:8" x14ac:dyDescent="0.3">
      <c r="H954" s="43"/>
    </row>
    <row r="955" spans="8:8" x14ac:dyDescent="0.3">
      <c r="H955" s="43"/>
    </row>
    <row r="956" spans="8:8" x14ac:dyDescent="0.3">
      <c r="H956" s="43"/>
    </row>
    <row r="957" spans="8:8" x14ac:dyDescent="0.3">
      <c r="H957" s="43"/>
    </row>
    <row r="958" spans="8:8" x14ac:dyDescent="0.3">
      <c r="H958" s="43"/>
    </row>
    <row r="959" spans="8:8" x14ac:dyDescent="0.3">
      <c r="H959" s="43"/>
    </row>
    <row r="960" spans="8:8" x14ac:dyDescent="0.3">
      <c r="H960" s="43"/>
    </row>
    <row r="961" spans="8:8" x14ac:dyDescent="0.3">
      <c r="H961" s="43"/>
    </row>
    <row r="962" spans="8:8" x14ac:dyDescent="0.3">
      <c r="H962" s="43"/>
    </row>
    <row r="963" spans="8:8" x14ac:dyDescent="0.3">
      <c r="H963" s="43"/>
    </row>
    <row r="964" spans="8:8" x14ac:dyDescent="0.3">
      <c r="H964" s="43"/>
    </row>
    <row r="965" spans="8:8" x14ac:dyDescent="0.3">
      <c r="H965" s="43"/>
    </row>
    <row r="966" spans="8:8" x14ac:dyDescent="0.3">
      <c r="H966" s="43"/>
    </row>
    <row r="967" spans="8:8" x14ac:dyDescent="0.3">
      <c r="H967" s="43"/>
    </row>
    <row r="968" spans="8:8" x14ac:dyDescent="0.3">
      <c r="H968" s="43"/>
    </row>
    <row r="969" spans="8:8" x14ac:dyDescent="0.3">
      <c r="H969" s="43"/>
    </row>
    <row r="970" spans="8:8" x14ac:dyDescent="0.3">
      <c r="H970" s="43"/>
    </row>
    <row r="971" spans="8:8" x14ac:dyDescent="0.3">
      <c r="H971" s="43"/>
    </row>
    <row r="972" spans="8:8" x14ac:dyDescent="0.3">
      <c r="H972" s="43"/>
    </row>
    <row r="973" spans="8:8" x14ac:dyDescent="0.3">
      <c r="H973" s="43"/>
    </row>
    <row r="974" spans="8:8" x14ac:dyDescent="0.3">
      <c r="H974" s="43"/>
    </row>
    <row r="975" spans="8:8" x14ac:dyDescent="0.3">
      <c r="H975" s="43"/>
    </row>
    <row r="976" spans="8:8" x14ac:dyDescent="0.3">
      <c r="H976" s="43"/>
    </row>
    <row r="977" spans="8:8" x14ac:dyDescent="0.3">
      <c r="H977" s="43"/>
    </row>
    <row r="978" spans="8:8" x14ac:dyDescent="0.3">
      <c r="H978" s="43"/>
    </row>
    <row r="979" spans="8:8" x14ac:dyDescent="0.3">
      <c r="H979" s="43"/>
    </row>
    <row r="980" spans="8:8" x14ac:dyDescent="0.3">
      <c r="H980" s="43"/>
    </row>
    <row r="981" spans="8:8" x14ac:dyDescent="0.3">
      <c r="H981" s="43"/>
    </row>
    <row r="982" spans="8:8" x14ac:dyDescent="0.3">
      <c r="H982" s="43"/>
    </row>
    <row r="983" spans="8:8" x14ac:dyDescent="0.3">
      <c r="H983" s="43"/>
    </row>
    <row r="984" spans="8:8" x14ac:dyDescent="0.3">
      <c r="H984" s="43"/>
    </row>
    <row r="985" spans="8:8" x14ac:dyDescent="0.3">
      <c r="H985" s="43"/>
    </row>
    <row r="986" spans="8:8" x14ac:dyDescent="0.3">
      <c r="H986" s="43"/>
    </row>
    <row r="987" spans="8:8" x14ac:dyDescent="0.3">
      <c r="H987" s="43"/>
    </row>
    <row r="988" spans="8:8" x14ac:dyDescent="0.3">
      <c r="H988" s="43"/>
    </row>
    <row r="989" spans="8:8" x14ac:dyDescent="0.3">
      <c r="H989" s="43"/>
    </row>
    <row r="990" spans="8:8" x14ac:dyDescent="0.3">
      <c r="H990" s="43"/>
    </row>
    <row r="991" spans="8:8" x14ac:dyDescent="0.3">
      <c r="H991" s="43"/>
    </row>
    <row r="992" spans="8:8" x14ac:dyDescent="0.3">
      <c r="H992" s="43"/>
    </row>
    <row r="993" spans="8:8" x14ac:dyDescent="0.3">
      <c r="H993" s="43"/>
    </row>
    <row r="994" spans="8:8" x14ac:dyDescent="0.3">
      <c r="H994" s="43"/>
    </row>
    <row r="995" spans="8:8" x14ac:dyDescent="0.3">
      <c r="H995" s="43"/>
    </row>
    <row r="996" spans="8:8" x14ac:dyDescent="0.3">
      <c r="H996" s="43"/>
    </row>
    <row r="997" spans="8:8" x14ac:dyDescent="0.3">
      <c r="H997" s="43"/>
    </row>
    <row r="998" spans="8:8" x14ac:dyDescent="0.3">
      <c r="H998" s="43"/>
    </row>
    <row r="999" spans="8:8" x14ac:dyDescent="0.3">
      <c r="H999" s="43"/>
    </row>
    <row r="1000" spans="8:8" x14ac:dyDescent="0.3">
      <c r="H1000" s="43"/>
    </row>
    <row r="1001" spans="8:8" x14ac:dyDescent="0.3">
      <c r="H1001" s="43"/>
    </row>
    <row r="1002" spans="8:8" x14ac:dyDescent="0.3">
      <c r="H1002" s="43"/>
    </row>
    <row r="1003" spans="8:8" x14ac:dyDescent="0.3">
      <c r="H1003" s="43"/>
    </row>
    <row r="1004" spans="8:8" x14ac:dyDescent="0.3">
      <c r="H1004" s="43"/>
    </row>
    <row r="1005" spans="8:8" x14ac:dyDescent="0.3">
      <c r="H1005" s="43"/>
    </row>
    <row r="1006" spans="8:8" x14ac:dyDescent="0.3">
      <c r="H1006" s="43"/>
    </row>
    <row r="1007" spans="8:8" x14ac:dyDescent="0.3">
      <c r="H1007" s="43"/>
    </row>
    <row r="1008" spans="8:8" x14ac:dyDescent="0.3">
      <c r="H1008" s="43"/>
    </row>
    <row r="1009" spans="8:8" x14ac:dyDescent="0.3">
      <c r="H1009" s="43"/>
    </row>
    <row r="1010" spans="8:8" x14ac:dyDescent="0.3">
      <c r="H1010" s="43"/>
    </row>
    <row r="1011" spans="8:8" x14ac:dyDescent="0.3">
      <c r="H1011" s="43"/>
    </row>
    <row r="1012" spans="8:8" x14ac:dyDescent="0.3">
      <c r="H1012" s="43"/>
    </row>
    <row r="1013" spans="8:8" x14ac:dyDescent="0.3">
      <c r="H1013" s="43"/>
    </row>
    <row r="1014" spans="8:8" x14ac:dyDescent="0.3">
      <c r="H1014" s="43"/>
    </row>
    <row r="1015" spans="8:8" x14ac:dyDescent="0.3">
      <c r="H1015" s="43"/>
    </row>
    <row r="1016" spans="8:8" x14ac:dyDescent="0.3">
      <c r="H1016" s="43"/>
    </row>
    <row r="1017" spans="8:8" x14ac:dyDescent="0.3">
      <c r="H1017" s="43"/>
    </row>
    <row r="1018" spans="8:8" x14ac:dyDescent="0.3">
      <c r="H1018" s="43"/>
    </row>
    <row r="1019" spans="8:8" x14ac:dyDescent="0.3">
      <c r="H1019" s="43"/>
    </row>
    <row r="1020" spans="8:8" x14ac:dyDescent="0.3">
      <c r="H1020" s="43"/>
    </row>
    <row r="1021" spans="8:8" x14ac:dyDescent="0.3">
      <c r="H1021" s="43"/>
    </row>
    <row r="1022" spans="8:8" x14ac:dyDescent="0.3">
      <c r="H1022" s="43"/>
    </row>
    <row r="1023" spans="8:8" x14ac:dyDescent="0.3">
      <c r="H1023" s="43"/>
    </row>
    <row r="1024" spans="8:8" x14ac:dyDescent="0.3">
      <c r="H1024" s="43"/>
    </row>
    <row r="1025" spans="8:8" x14ac:dyDescent="0.3">
      <c r="H1025" s="43"/>
    </row>
    <row r="1026" spans="8:8" x14ac:dyDescent="0.3">
      <c r="H1026" s="43"/>
    </row>
    <row r="1027" spans="8:8" x14ac:dyDescent="0.3">
      <c r="H1027" s="43"/>
    </row>
    <row r="1028" spans="8:8" x14ac:dyDescent="0.3">
      <c r="H1028" s="43"/>
    </row>
    <row r="1029" spans="8:8" x14ac:dyDescent="0.3">
      <c r="H1029" s="43"/>
    </row>
    <row r="1030" spans="8:8" x14ac:dyDescent="0.3">
      <c r="H1030" s="43"/>
    </row>
    <row r="1031" spans="8:8" x14ac:dyDescent="0.3">
      <c r="H1031" s="43"/>
    </row>
    <row r="1032" spans="8:8" x14ac:dyDescent="0.3">
      <c r="H1032" s="43"/>
    </row>
    <row r="1033" spans="8:8" x14ac:dyDescent="0.3">
      <c r="H1033" s="43"/>
    </row>
    <row r="1034" spans="8:8" x14ac:dyDescent="0.3">
      <c r="H1034" s="43"/>
    </row>
    <row r="1035" spans="8:8" x14ac:dyDescent="0.3">
      <c r="H1035" s="43"/>
    </row>
    <row r="1036" spans="8:8" x14ac:dyDescent="0.3">
      <c r="H1036" s="43"/>
    </row>
    <row r="1037" spans="8:8" x14ac:dyDescent="0.3">
      <c r="H1037" s="43"/>
    </row>
    <row r="1038" spans="8:8" x14ac:dyDescent="0.3">
      <c r="H1038" s="43"/>
    </row>
    <row r="1039" spans="8:8" x14ac:dyDescent="0.3">
      <c r="H1039" s="43"/>
    </row>
    <row r="1040" spans="8:8" x14ac:dyDescent="0.3">
      <c r="H1040" s="43"/>
    </row>
    <row r="1041" spans="8:8" x14ac:dyDescent="0.3">
      <c r="H1041" s="43"/>
    </row>
    <row r="1042" spans="8:8" x14ac:dyDescent="0.3">
      <c r="H1042" s="43"/>
    </row>
    <row r="1043" spans="8:8" x14ac:dyDescent="0.3">
      <c r="H1043" s="43"/>
    </row>
    <row r="1044" spans="8:8" x14ac:dyDescent="0.3">
      <c r="H1044" s="43"/>
    </row>
    <row r="1045" spans="8:8" x14ac:dyDescent="0.3">
      <c r="H1045" s="43"/>
    </row>
    <row r="1046" spans="8:8" x14ac:dyDescent="0.3">
      <c r="H1046" s="43"/>
    </row>
    <row r="1047" spans="8:8" x14ac:dyDescent="0.3">
      <c r="H1047" s="43"/>
    </row>
    <row r="1048" spans="8:8" x14ac:dyDescent="0.3">
      <c r="H1048" s="43"/>
    </row>
    <row r="1049" spans="8:8" x14ac:dyDescent="0.3">
      <c r="H1049" s="43"/>
    </row>
    <row r="1050" spans="8:8" x14ac:dyDescent="0.3">
      <c r="H1050" s="43"/>
    </row>
    <row r="1051" spans="8:8" x14ac:dyDescent="0.3">
      <c r="H1051" s="43"/>
    </row>
    <row r="1052" spans="8:8" x14ac:dyDescent="0.3">
      <c r="H1052" s="43"/>
    </row>
    <row r="1053" spans="8:8" x14ac:dyDescent="0.3">
      <c r="H1053" s="43"/>
    </row>
    <row r="1054" spans="8:8" x14ac:dyDescent="0.3">
      <c r="H1054" s="43"/>
    </row>
    <row r="1055" spans="8:8" x14ac:dyDescent="0.3">
      <c r="H1055" s="43"/>
    </row>
    <row r="1056" spans="8:8" x14ac:dyDescent="0.3">
      <c r="H1056" s="43"/>
    </row>
    <row r="1057" spans="8:8" x14ac:dyDescent="0.3">
      <c r="H1057" s="43"/>
    </row>
    <row r="1058" spans="8:8" x14ac:dyDescent="0.3">
      <c r="H1058" s="43"/>
    </row>
    <row r="1059" spans="8:8" x14ac:dyDescent="0.3">
      <c r="H1059" s="43"/>
    </row>
    <row r="1060" spans="8:8" x14ac:dyDescent="0.3">
      <c r="H1060" s="43"/>
    </row>
    <row r="1061" spans="8:8" x14ac:dyDescent="0.3">
      <c r="H1061" s="43"/>
    </row>
    <row r="1062" spans="8:8" x14ac:dyDescent="0.3">
      <c r="H1062" s="43"/>
    </row>
    <row r="1063" spans="8:8" x14ac:dyDescent="0.3">
      <c r="H1063" s="43"/>
    </row>
    <row r="1064" spans="8:8" x14ac:dyDescent="0.3">
      <c r="H1064" s="43"/>
    </row>
    <row r="1065" spans="8:8" x14ac:dyDescent="0.3">
      <c r="H1065" s="43"/>
    </row>
    <row r="1066" spans="8:8" x14ac:dyDescent="0.3">
      <c r="H1066" s="43"/>
    </row>
    <row r="1067" spans="8:8" x14ac:dyDescent="0.3">
      <c r="H1067" s="43"/>
    </row>
    <row r="1068" spans="8:8" x14ac:dyDescent="0.3">
      <c r="H1068" s="43"/>
    </row>
    <row r="1069" spans="8:8" x14ac:dyDescent="0.3">
      <c r="H1069" s="43"/>
    </row>
    <row r="1070" spans="8:8" x14ac:dyDescent="0.3">
      <c r="H1070" s="43"/>
    </row>
    <row r="1071" spans="8:8" x14ac:dyDescent="0.3">
      <c r="H1071" s="43"/>
    </row>
    <row r="1072" spans="8:8" x14ac:dyDescent="0.3">
      <c r="H1072" s="43"/>
    </row>
    <row r="1073" spans="8:8" x14ac:dyDescent="0.3">
      <c r="H1073" s="43"/>
    </row>
    <row r="1074" spans="8:8" x14ac:dyDescent="0.3">
      <c r="H1074" s="43"/>
    </row>
    <row r="1075" spans="8:8" x14ac:dyDescent="0.3">
      <c r="H1075" s="43"/>
    </row>
    <row r="1076" spans="8:8" x14ac:dyDescent="0.3">
      <c r="H1076" s="43"/>
    </row>
    <row r="1077" spans="8:8" x14ac:dyDescent="0.3">
      <c r="H1077" s="43"/>
    </row>
    <row r="1078" spans="8:8" x14ac:dyDescent="0.3">
      <c r="H1078" s="43"/>
    </row>
    <row r="1079" spans="8:8" x14ac:dyDescent="0.3">
      <c r="H1079" s="43"/>
    </row>
    <row r="1080" spans="8:8" x14ac:dyDescent="0.3">
      <c r="H1080" s="43"/>
    </row>
    <row r="1081" spans="8:8" x14ac:dyDescent="0.3">
      <c r="H1081" s="43"/>
    </row>
    <row r="1082" spans="8:8" x14ac:dyDescent="0.3">
      <c r="H1082" s="43"/>
    </row>
    <row r="1083" spans="8:8" x14ac:dyDescent="0.3">
      <c r="H1083" s="43"/>
    </row>
    <row r="1084" spans="8:8" x14ac:dyDescent="0.3">
      <c r="H1084" s="43"/>
    </row>
    <row r="1085" spans="8:8" x14ac:dyDescent="0.3">
      <c r="H1085" s="43"/>
    </row>
    <row r="1086" spans="8:8" x14ac:dyDescent="0.3">
      <c r="H1086" s="43"/>
    </row>
    <row r="1087" spans="8:8" x14ac:dyDescent="0.3">
      <c r="H1087" s="43"/>
    </row>
    <row r="1088" spans="8:8" x14ac:dyDescent="0.3">
      <c r="H1088" s="43"/>
    </row>
    <row r="1089" spans="8:8" x14ac:dyDescent="0.3">
      <c r="H1089" s="43"/>
    </row>
    <row r="1090" spans="8:8" x14ac:dyDescent="0.3">
      <c r="H1090" s="43"/>
    </row>
    <row r="1091" spans="8:8" x14ac:dyDescent="0.3">
      <c r="H1091" s="43"/>
    </row>
    <row r="1092" spans="8:8" x14ac:dyDescent="0.3">
      <c r="H1092" s="43"/>
    </row>
    <row r="1093" spans="8:8" x14ac:dyDescent="0.3">
      <c r="H1093" s="43"/>
    </row>
    <row r="1094" spans="8:8" x14ac:dyDescent="0.3">
      <c r="H1094" s="43"/>
    </row>
    <row r="1095" spans="8:8" x14ac:dyDescent="0.3">
      <c r="H1095" s="43"/>
    </row>
    <row r="1096" spans="8:8" x14ac:dyDescent="0.3">
      <c r="H1096" s="43"/>
    </row>
    <row r="1097" spans="8:8" x14ac:dyDescent="0.3">
      <c r="H1097" s="43"/>
    </row>
    <row r="1098" spans="8:8" x14ac:dyDescent="0.3">
      <c r="H1098" s="43"/>
    </row>
    <row r="1099" spans="8:8" x14ac:dyDescent="0.3">
      <c r="H1099" s="43"/>
    </row>
    <row r="1100" spans="8:8" x14ac:dyDescent="0.3">
      <c r="H1100" s="43"/>
    </row>
    <row r="1101" spans="8:8" x14ac:dyDescent="0.3">
      <c r="H1101" s="43"/>
    </row>
    <row r="1102" spans="8:8" x14ac:dyDescent="0.3">
      <c r="H1102" s="43"/>
    </row>
    <row r="1103" spans="8:8" x14ac:dyDescent="0.3">
      <c r="H1103" s="43"/>
    </row>
    <row r="1104" spans="8:8" x14ac:dyDescent="0.3">
      <c r="H1104" s="43"/>
    </row>
    <row r="1105" spans="8:8" x14ac:dyDescent="0.3">
      <c r="H1105" s="43"/>
    </row>
    <row r="1106" spans="8:8" x14ac:dyDescent="0.3">
      <c r="H1106" s="43"/>
    </row>
    <row r="1107" spans="8:8" x14ac:dyDescent="0.3">
      <c r="H1107" s="43"/>
    </row>
    <row r="1108" spans="8:8" x14ac:dyDescent="0.3">
      <c r="H1108" s="43"/>
    </row>
    <row r="1109" spans="8:8" x14ac:dyDescent="0.3">
      <c r="H1109" s="43"/>
    </row>
    <row r="1110" spans="8:8" x14ac:dyDescent="0.3">
      <c r="H1110" s="43"/>
    </row>
    <row r="1111" spans="8:8" x14ac:dyDescent="0.3">
      <c r="H1111" s="43"/>
    </row>
    <row r="1112" spans="8:8" x14ac:dyDescent="0.3">
      <c r="H1112" s="43"/>
    </row>
    <row r="1113" spans="8:8" x14ac:dyDescent="0.3">
      <c r="H1113" s="43"/>
    </row>
    <row r="1114" spans="8:8" x14ac:dyDescent="0.3">
      <c r="H1114" s="43"/>
    </row>
    <row r="1115" spans="8:8" x14ac:dyDescent="0.3">
      <c r="H1115" s="43"/>
    </row>
    <row r="1116" spans="8:8" x14ac:dyDescent="0.3">
      <c r="H1116" s="43"/>
    </row>
    <row r="1117" spans="8:8" x14ac:dyDescent="0.3">
      <c r="H1117" s="43"/>
    </row>
    <row r="1118" spans="8:8" x14ac:dyDescent="0.3">
      <c r="H1118" s="43"/>
    </row>
    <row r="1119" spans="8:8" x14ac:dyDescent="0.3">
      <c r="H1119" s="43"/>
    </row>
    <row r="1120" spans="8:8" x14ac:dyDescent="0.3">
      <c r="H1120" s="43"/>
    </row>
    <row r="1121" spans="8:8" x14ac:dyDescent="0.3">
      <c r="H1121" s="43"/>
    </row>
    <row r="1122" spans="8:8" x14ac:dyDescent="0.3">
      <c r="H1122" s="43"/>
    </row>
    <row r="1123" spans="8:8" x14ac:dyDescent="0.3">
      <c r="H1123" s="43"/>
    </row>
    <row r="1124" spans="8:8" x14ac:dyDescent="0.3">
      <c r="H1124" s="43"/>
    </row>
    <row r="1125" spans="8:8" x14ac:dyDescent="0.3">
      <c r="H1125" s="43"/>
    </row>
    <row r="1126" spans="8:8" x14ac:dyDescent="0.3">
      <c r="H1126" s="43"/>
    </row>
    <row r="1127" spans="8:8" x14ac:dyDescent="0.3">
      <c r="H1127" s="43"/>
    </row>
    <row r="1128" spans="8:8" x14ac:dyDescent="0.3">
      <c r="H1128" s="43"/>
    </row>
    <row r="1129" spans="8:8" x14ac:dyDescent="0.3">
      <c r="H1129" s="43"/>
    </row>
    <row r="1130" spans="8:8" x14ac:dyDescent="0.3">
      <c r="H1130" s="43"/>
    </row>
    <row r="1131" spans="8:8" x14ac:dyDescent="0.3">
      <c r="H1131" s="43"/>
    </row>
    <row r="1132" spans="8:8" x14ac:dyDescent="0.3">
      <c r="H1132" s="43"/>
    </row>
    <row r="1133" spans="8:8" x14ac:dyDescent="0.3">
      <c r="H1133" s="43"/>
    </row>
    <row r="1134" spans="8:8" x14ac:dyDescent="0.3">
      <c r="H1134" s="43"/>
    </row>
    <row r="1135" spans="8:8" x14ac:dyDescent="0.3">
      <c r="H1135" s="43"/>
    </row>
    <row r="1136" spans="8:8" x14ac:dyDescent="0.3">
      <c r="H1136" s="43"/>
    </row>
    <row r="1137" spans="8:8" x14ac:dyDescent="0.3">
      <c r="H1137" s="43"/>
    </row>
    <row r="1138" spans="8:8" x14ac:dyDescent="0.3">
      <c r="H1138" s="43"/>
    </row>
    <row r="1139" spans="8:8" x14ac:dyDescent="0.3">
      <c r="H1139" s="43"/>
    </row>
    <row r="1140" spans="8:8" x14ac:dyDescent="0.3">
      <c r="H1140" s="43"/>
    </row>
    <row r="1141" spans="8:8" x14ac:dyDescent="0.3">
      <c r="H1141" s="43"/>
    </row>
    <row r="1142" spans="8:8" x14ac:dyDescent="0.3">
      <c r="H1142" s="43"/>
    </row>
    <row r="1143" spans="8:8" x14ac:dyDescent="0.3">
      <c r="H1143" s="43"/>
    </row>
    <row r="1144" spans="8:8" x14ac:dyDescent="0.3">
      <c r="H1144" s="43"/>
    </row>
    <row r="1145" spans="8:8" x14ac:dyDescent="0.3">
      <c r="H1145" s="43"/>
    </row>
    <row r="1146" spans="8:8" x14ac:dyDescent="0.3">
      <c r="H1146" s="43"/>
    </row>
    <row r="1147" spans="8:8" x14ac:dyDescent="0.3">
      <c r="H1147" s="43"/>
    </row>
    <row r="1148" spans="8:8" x14ac:dyDescent="0.3">
      <c r="H1148" s="43"/>
    </row>
    <row r="1149" spans="8:8" x14ac:dyDescent="0.3">
      <c r="H1149" s="43"/>
    </row>
    <row r="1150" spans="8:8" x14ac:dyDescent="0.3">
      <c r="H1150" s="43"/>
    </row>
    <row r="1151" spans="8:8" x14ac:dyDescent="0.3">
      <c r="H1151" s="43"/>
    </row>
    <row r="1152" spans="8:8" x14ac:dyDescent="0.3">
      <c r="H1152" s="43"/>
    </row>
    <row r="1153" spans="8:8" x14ac:dyDescent="0.3">
      <c r="H1153" s="43"/>
    </row>
    <row r="1154" spans="8:8" x14ac:dyDescent="0.3">
      <c r="H1154" s="43"/>
    </row>
    <row r="1155" spans="8:8" x14ac:dyDescent="0.3">
      <c r="H1155" s="43"/>
    </row>
    <row r="1156" spans="8:8" x14ac:dyDescent="0.3">
      <c r="H1156" s="43"/>
    </row>
    <row r="1157" spans="8:8" x14ac:dyDescent="0.3">
      <c r="H1157" s="43"/>
    </row>
    <row r="1158" spans="8:8" x14ac:dyDescent="0.3">
      <c r="H1158" s="43"/>
    </row>
    <row r="1159" spans="8:8" x14ac:dyDescent="0.3">
      <c r="H1159" s="43"/>
    </row>
    <row r="1160" spans="8:8" x14ac:dyDescent="0.3">
      <c r="H1160" s="43"/>
    </row>
    <row r="1161" spans="8:8" x14ac:dyDescent="0.3">
      <c r="H1161" s="43"/>
    </row>
    <row r="1162" spans="8:8" x14ac:dyDescent="0.3">
      <c r="H1162" s="43"/>
    </row>
    <row r="1163" spans="8:8" x14ac:dyDescent="0.3">
      <c r="H1163" s="43"/>
    </row>
    <row r="1164" spans="8:8" x14ac:dyDescent="0.3">
      <c r="H1164" s="43"/>
    </row>
    <row r="1165" spans="8:8" x14ac:dyDescent="0.3">
      <c r="H1165" s="43"/>
    </row>
    <row r="1166" spans="8:8" x14ac:dyDescent="0.3">
      <c r="H1166" s="43"/>
    </row>
    <row r="1167" spans="8:8" x14ac:dyDescent="0.3">
      <c r="H1167" s="43"/>
    </row>
    <row r="1168" spans="8:8" x14ac:dyDescent="0.3">
      <c r="H1168" s="43"/>
    </row>
    <row r="1169" spans="8:8" x14ac:dyDescent="0.3">
      <c r="H1169" s="43"/>
    </row>
    <row r="1170" spans="8:8" x14ac:dyDescent="0.3">
      <c r="H1170" s="43"/>
    </row>
    <row r="1171" spans="8:8" x14ac:dyDescent="0.3">
      <c r="H1171" s="43"/>
    </row>
    <row r="1172" spans="8:8" x14ac:dyDescent="0.3">
      <c r="H1172" s="43"/>
    </row>
    <row r="1173" spans="8:8" x14ac:dyDescent="0.3">
      <c r="H1173" s="43"/>
    </row>
    <row r="1174" spans="8:8" x14ac:dyDescent="0.3">
      <c r="H1174" s="43"/>
    </row>
    <row r="1175" spans="8:8" x14ac:dyDescent="0.3">
      <c r="H1175" s="43"/>
    </row>
    <row r="1176" spans="8:8" x14ac:dyDescent="0.3">
      <c r="H1176" s="43"/>
    </row>
    <row r="1177" spans="8:8" x14ac:dyDescent="0.3">
      <c r="H1177" s="43"/>
    </row>
    <row r="1178" spans="8:8" x14ac:dyDescent="0.3">
      <c r="H1178" s="43"/>
    </row>
    <row r="1179" spans="8:8" x14ac:dyDescent="0.3">
      <c r="H1179" s="43"/>
    </row>
    <row r="1180" spans="8:8" x14ac:dyDescent="0.3">
      <c r="H1180" s="43"/>
    </row>
    <row r="1181" spans="8:8" x14ac:dyDescent="0.3">
      <c r="H1181" s="43"/>
    </row>
    <row r="1182" spans="8:8" x14ac:dyDescent="0.3">
      <c r="H1182" s="43"/>
    </row>
    <row r="1183" spans="8:8" x14ac:dyDescent="0.3">
      <c r="H1183" s="43"/>
    </row>
    <row r="1184" spans="8:8" x14ac:dyDescent="0.3">
      <c r="H1184" s="43"/>
    </row>
    <row r="1185" spans="8:8" x14ac:dyDescent="0.3">
      <c r="H1185" s="43"/>
    </row>
    <row r="1186" spans="8:8" x14ac:dyDescent="0.3">
      <c r="H1186" s="43"/>
    </row>
    <row r="1187" spans="8:8" x14ac:dyDescent="0.3">
      <c r="H1187" s="43"/>
    </row>
    <row r="1188" spans="8:8" x14ac:dyDescent="0.3">
      <c r="H1188" s="43"/>
    </row>
    <row r="1189" spans="8:8" x14ac:dyDescent="0.3">
      <c r="H1189" s="43"/>
    </row>
    <row r="1190" spans="8:8" x14ac:dyDescent="0.3">
      <c r="H1190" s="43"/>
    </row>
    <row r="1191" spans="8:8" x14ac:dyDescent="0.3">
      <c r="H1191" s="43"/>
    </row>
    <row r="1192" spans="8:8" x14ac:dyDescent="0.3">
      <c r="H1192" s="43"/>
    </row>
    <row r="1193" spans="8:8" x14ac:dyDescent="0.3">
      <c r="H1193" s="43"/>
    </row>
    <row r="1194" spans="8:8" x14ac:dyDescent="0.3">
      <c r="H1194" s="43"/>
    </row>
    <row r="1195" spans="8:8" x14ac:dyDescent="0.3">
      <c r="H1195" s="43"/>
    </row>
    <row r="1196" spans="8:8" x14ac:dyDescent="0.3">
      <c r="H1196" s="43"/>
    </row>
    <row r="1197" spans="8:8" x14ac:dyDescent="0.3">
      <c r="H1197" s="43"/>
    </row>
    <row r="1198" spans="8:8" x14ac:dyDescent="0.3">
      <c r="H1198" s="43"/>
    </row>
    <row r="1199" spans="8:8" x14ac:dyDescent="0.3">
      <c r="H1199" s="43"/>
    </row>
    <row r="1200" spans="8:8" x14ac:dyDescent="0.3">
      <c r="H1200" s="43"/>
    </row>
    <row r="1201" spans="8:8" x14ac:dyDescent="0.3">
      <c r="H1201" s="43"/>
    </row>
    <row r="1202" spans="8:8" x14ac:dyDescent="0.3">
      <c r="H1202" s="43"/>
    </row>
    <row r="1203" spans="8:8" x14ac:dyDescent="0.3">
      <c r="H1203" s="43"/>
    </row>
    <row r="1204" spans="8:8" x14ac:dyDescent="0.3">
      <c r="H1204" s="43"/>
    </row>
    <row r="1205" spans="8:8" x14ac:dyDescent="0.3">
      <c r="H1205" s="43"/>
    </row>
    <row r="1206" spans="8:8" x14ac:dyDescent="0.3">
      <c r="H1206" s="43"/>
    </row>
    <row r="1207" spans="8:8" x14ac:dyDescent="0.3">
      <c r="H1207" s="43"/>
    </row>
    <row r="1208" spans="8:8" x14ac:dyDescent="0.3">
      <c r="H1208" s="43"/>
    </row>
    <row r="1209" spans="8:8" x14ac:dyDescent="0.3">
      <c r="H1209" s="43"/>
    </row>
    <row r="1210" spans="8:8" x14ac:dyDescent="0.3">
      <c r="H1210" s="43"/>
    </row>
    <row r="1211" spans="8:8" x14ac:dyDescent="0.3">
      <c r="H1211" s="43"/>
    </row>
    <row r="1212" spans="8:8" x14ac:dyDescent="0.3">
      <c r="H1212" s="43"/>
    </row>
    <row r="1213" spans="8:8" x14ac:dyDescent="0.3">
      <c r="H1213" s="43"/>
    </row>
    <row r="1214" spans="8:8" x14ac:dyDescent="0.3">
      <c r="H1214" s="43"/>
    </row>
    <row r="1215" spans="8:8" x14ac:dyDescent="0.3">
      <c r="H1215" s="43"/>
    </row>
    <row r="1216" spans="8:8" x14ac:dyDescent="0.3">
      <c r="H1216" s="43"/>
    </row>
  </sheetData>
  <autoFilter ref="A1:G318" xr:uid="{0B986F4F-34E5-47C2-9D43-B895ED1C0FB2}"/>
  <sortState xmlns:xlrd2="http://schemas.microsoft.com/office/spreadsheetml/2017/richdata2" ref="A2:K1216">
    <sortCondition ref="A2:A1216"/>
    <sortCondition ref="B2:B1216"/>
  </sortState>
  <conditionalFormatting sqref="G1:H1 G90:G276 G4:G88">
    <cfRule type="cellIs" dxfId="0" priority="3" operator="greaterThan">
      <formula>0</formula>
    </cfRule>
  </conditionalFormatting>
  <pageMargins left="0.25" right="0.25" top="0.75" bottom="0.75" header="0.3" footer="0.3"/>
  <pageSetup paperSize="9" scale="76" fitToHeight="0" orientation="portrait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05819BB-5330-4DF2-888D-1B29D028E45F}">
          <x14:formula1>
            <xm:f>Fournisseurs!$A$1:$A$32</xm:f>
          </x14:formula1>
          <xm:sqref>D2:D8</xm:sqref>
        </x14:dataValidation>
        <x14:dataValidation type="list" allowBlank="1" showInputMessage="1" showErrorMessage="1" xr:uid="{44D3F362-40AD-4494-9511-FB695CF9A8EF}">
          <x14:formula1>
            <xm:f>Marques!$A$2:$A$46</xm:f>
          </x14:formula1>
          <xm:sqref>A2:A5 A166:A169 A7:A8</xm:sqref>
        </x14:dataValidation>
        <x14:dataValidation type="list" allowBlank="1" showInputMessage="1" showErrorMessage="1" xr:uid="{2DC94F57-1906-4043-8B74-E346C4D57C5A}">
          <x14:formula1>
            <xm:f>Marques!$A$1:$A$40</xm:f>
          </x14:formula1>
          <xm:sqref>A200 A230:A290 A223:A228 A204:A221 A170:A196 A9:A165</xm:sqref>
        </x14:dataValidation>
        <x14:dataValidation type="list" allowBlank="1" showInputMessage="1" showErrorMessage="1" xr:uid="{00E148DC-78F0-4AA5-821E-CA1657D63F42}">
          <x14:formula1>
            <xm:f>Marques!$A$2:$A$40</xm:f>
          </x14:formula1>
          <xm:sqref>A197:A199 A201:A203 A229</xm:sqref>
        </x14:dataValidation>
        <x14:dataValidation type="list" allowBlank="1" showInputMessage="1" showErrorMessage="1" xr:uid="{D3FC3A92-4BB7-4A56-8872-EDE6F29F36B4}">
          <x14:formula1>
            <xm:f>Marques!$A$2:$A$27</xm:f>
          </x14:formula1>
          <xm:sqref>A222</xm:sqref>
        </x14:dataValidation>
        <x14:dataValidation type="list" allowBlank="1" showInputMessage="1" showErrorMessage="1" xr:uid="{83E2B4FE-44A0-4AAD-9368-5A760192CCD2}">
          <x14:formula1>
            <xm:f>Marques!$A$2:$A$41</xm:f>
          </x14:formula1>
          <xm:sqref>A6</xm:sqref>
        </x14:dataValidation>
        <x14:dataValidation type="list" allowBlank="1" showInputMessage="1" showErrorMessage="1" xr:uid="{6332A5F9-C619-4CAE-94C6-867F14D8AA72}">
          <x14:formula1>
            <xm:f>Fournisseurs!$A$1:$A$17</xm:f>
          </x14:formula1>
          <xm:sqref>D9:D282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A25A4-0212-4AF2-B569-A73AA964CBAB}">
  <sheetPr codeName="Feuil2"/>
  <dimension ref="A1:A40"/>
  <sheetViews>
    <sheetView topLeftCell="A20" zoomScale="90" zoomScaleNormal="90" workbookViewId="0">
      <selection sqref="A1:A1048576"/>
    </sheetView>
  </sheetViews>
  <sheetFormatPr baseColWidth="10" defaultColWidth="11.44140625" defaultRowHeight="14.4" x14ac:dyDescent="0.3"/>
  <cols>
    <col min="1" max="1" width="15.6640625" customWidth="1"/>
    <col min="2" max="16384" width="11.44140625" style="77"/>
  </cols>
  <sheetData>
    <row r="1" spans="1:1" x14ac:dyDescent="0.3">
      <c r="A1" t="s">
        <v>545</v>
      </c>
    </row>
    <row r="2" spans="1:1" x14ac:dyDescent="0.3">
      <c r="A2" t="s">
        <v>6</v>
      </c>
    </row>
    <row r="3" spans="1:1" x14ac:dyDescent="0.3">
      <c r="A3" t="s">
        <v>14</v>
      </c>
    </row>
    <row r="4" spans="1:1" x14ac:dyDescent="0.3">
      <c r="A4" t="s">
        <v>17</v>
      </c>
    </row>
    <row r="5" spans="1:1" x14ac:dyDescent="0.3">
      <c r="A5" t="s">
        <v>80</v>
      </c>
    </row>
    <row r="6" spans="1:1" x14ac:dyDescent="0.3">
      <c r="A6" t="s">
        <v>445</v>
      </c>
    </row>
    <row r="7" spans="1:1" x14ac:dyDescent="0.3">
      <c r="A7" t="s">
        <v>84</v>
      </c>
    </row>
    <row r="8" spans="1:1" x14ac:dyDescent="0.3">
      <c r="A8" t="s">
        <v>377</v>
      </c>
    </row>
    <row r="9" spans="1:1" x14ac:dyDescent="0.3">
      <c r="A9" t="s">
        <v>88</v>
      </c>
    </row>
    <row r="10" spans="1:1" x14ac:dyDescent="0.3">
      <c r="A10" t="s">
        <v>91</v>
      </c>
    </row>
    <row r="11" spans="1:1" x14ac:dyDescent="0.3">
      <c r="A11" t="s">
        <v>94</v>
      </c>
    </row>
    <row r="12" spans="1:1" x14ac:dyDescent="0.3">
      <c r="A12" t="s">
        <v>313</v>
      </c>
    </row>
    <row r="13" spans="1:1" x14ac:dyDescent="0.3">
      <c r="A13" t="s">
        <v>97</v>
      </c>
    </row>
    <row r="14" spans="1:1" x14ac:dyDescent="0.3">
      <c r="A14" t="s">
        <v>362</v>
      </c>
    </row>
    <row r="15" spans="1:1" x14ac:dyDescent="0.3">
      <c r="A15" t="s">
        <v>118</v>
      </c>
    </row>
    <row r="16" spans="1:1" x14ac:dyDescent="0.3">
      <c r="A16" t="s">
        <v>348</v>
      </c>
    </row>
    <row r="17" spans="1:1" x14ac:dyDescent="0.3">
      <c r="A17" t="s">
        <v>125</v>
      </c>
    </row>
    <row r="18" spans="1:1" x14ac:dyDescent="0.3">
      <c r="A18" t="s">
        <v>347</v>
      </c>
    </row>
    <row r="19" spans="1:1" x14ac:dyDescent="0.3">
      <c r="A19" t="s">
        <v>140</v>
      </c>
    </row>
    <row r="20" spans="1:1" x14ac:dyDescent="0.3">
      <c r="A20" t="s">
        <v>143</v>
      </c>
    </row>
    <row r="21" spans="1:1" x14ac:dyDescent="0.3">
      <c r="A21" t="s">
        <v>391</v>
      </c>
    </row>
    <row r="22" spans="1:1" x14ac:dyDescent="0.3">
      <c r="A22" t="s">
        <v>342</v>
      </c>
    </row>
    <row r="23" spans="1:1" x14ac:dyDescent="0.3">
      <c r="A23" t="s">
        <v>349</v>
      </c>
    </row>
    <row r="24" spans="1:1" x14ac:dyDescent="0.3">
      <c r="A24" t="s">
        <v>146</v>
      </c>
    </row>
    <row r="25" spans="1:1" x14ac:dyDescent="0.3">
      <c r="A25" t="s">
        <v>150</v>
      </c>
    </row>
    <row r="26" spans="1:1" x14ac:dyDescent="0.3">
      <c r="A26" t="s">
        <v>361</v>
      </c>
    </row>
    <row r="27" spans="1:1" x14ac:dyDescent="0.3">
      <c r="A27" t="s">
        <v>152</v>
      </c>
    </row>
    <row r="28" spans="1:1" x14ac:dyDescent="0.3">
      <c r="A28" t="s">
        <v>439</v>
      </c>
    </row>
    <row r="29" spans="1:1" x14ac:dyDescent="0.3">
      <c r="A29" t="s">
        <v>345</v>
      </c>
    </row>
    <row r="30" spans="1:1" x14ac:dyDescent="0.3">
      <c r="A30" t="s">
        <v>9</v>
      </c>
    </row>
    <row r="31" spans="1:1" x14ac:dyDescent="0.3">
      <c r="A31" t="s">
        <v>167</v>
      </c>
    </row>
    <row r="32" spans="1:1" x14ac:dyDescent="0.3">
      <c r="A32" t="s">
        <v>237</v>
      </c>
    </row>
    <row r="33" spans="1:1" x14ac:dyDescent="0.3">
      <c r="A33" t="s">
        <v>245</v>
      </c>
    </row>
    <row r="34" spans="1:1" x14ac:dyDescent="0.3">
      <c r="A34" t="s">
        <v>249</v>
      </c>
    </row>
    <row r="35" spans="1:1" x14ac:dyDescent="0.3">
      <c r="A35" t="s">
        <v>259</v>
      </c>
    </row>
    <row r="36" spans="1:1" x14ac:dyDescent="0.3">
      <c r="A36" t="s">
        <v>346</v>
      </c>
    </row>
    <row r="37" spans="1:1" x14ac:dyDescent="0.3">
      <c r="A37" t="s">
        <v>262</v>
      </c>
    </row>
    <row r="38" spans="1:1" x14ac:dyDescent="0.3">
      <c r="A38" t="s">
        <v>263</v>
      </c>
    </row>
    <row r="39" spans="1:1" x14ac:dyDescent="0.3">
      <c r="A39" t="s">
        <v>302</v>
      </c>
    </row>
    <row r="40" spans="1:1" x14ac:dyDescent="0.3">
      <c r="A40" t="s">
        <v>304</v>
      </c>
    </row>
  </sheetData>
  <sortState xmlns:xlrd2="http://schemas.microsoft.com/office/spreadsheetml/2017/richdata2" ref="A2:A40">
    <sortCondition ref="A33:A40"/>
  </sortState>
  <dataValidations count="1">
    <dataValidation type="list" errorStyle="warning" allowBlank="1" showInputMessage="1" showErrorMessage="1" errorTitle="Erreur de base" error="Marque absente de la liste" sqref="A2:A38" xr:uid="{932D1DD3-6E5D-4127-B7E8-9B846F336030}">
      <formula1>$A$2:$A$38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82A7-A383-460C-819C-CB99827D5118}">
  <sheetPr codeName="Feuil3"/>
  <dimension ref="A1:A17"/>
  <sheetViews>
    <sheetView workbookViewId="0">
      <selection activeCell="F4" sqref="F4"/>
    </sheetView>
  </sheetViews>
  <sheetFormatPr baseColWidth="10" defaultColWidth="11.44140625" defaultRowHeight="14.4" x14ac:dyDescent="0.3"/>
  <cols>
    <col min="1" max="1" width="15.33203125" customWidth="1"/>
  </cols>
  <sheetData>
    <row r="1" spans="1:1" x14ac:dyDescent="0.3">
      <c r="A1" t="s">
        <v>149</v>
      </c>
    </row>
    <row r="2" spans="1:1" x14ac:dyDescent="0.3">
      <c r="A2" t="s">
        <v>14</v>
      </c>
    </row>
    <row r="3" spans="1:1" x14ac:dyDescent="0.3">
      <c r="A3" t="s">
        <v>17</v>
      </c>
    </row>
    <row r="4" spans="1:1" x14ac:dyDescent="0.3">
      <c r="A4" t="s">
        <v>306</v>
      </c>
    </row>
    <row r="5" spans="1:1" x14ac:dyDescent="0.3">
      <c r="A5" t="s">
        <v>87</v>
      </c>
    </row>
    <row r="6" spans="1:1" x14ac:dyDescent="0.3">
      <c r="A6" t="s">
        <v>101</v>
      </c>
    </row>
    <row r="7" spans="1:1" x14ac:dyDescent="0.3">
      <c r="A7" t="s">
        <v>313</v>
      </c>
    </row>
    <row r="8" spans="1:1" x14ac:dyDescent="0.3">
      <c r="A8" t="s">
        <v>125</v>
      </c>
    </row>
    <row r="9" spans="1:1" x14ac:dyDescent="0.3">
      <c r="A9" t="s">
        <v>347</v>
      </c>
    </row>
    <row r="10" spans="1:1" x14ac:dyDescent="0.3">
      <c r="A10" t="s">
        <v>342</v>
      </c>
    </row>
    <row r="11" spans="1:1" x14ac:dyDescent="0.3">
      <c r="A11" t="s">
        <v>351</v>
      </c>
    </row>
    <row r="12" spans="1:1" x14ac:dyDescent="0.3">
      <c r="A12" t="s">
        <v>361</v>
      </c>
    </row>
    <row r="13" spans="1:1" x14ac:dyDescent="0.3">
      <c r="A13" t="s">
        <v>307</v>
      </c>
    </row>
    <row r="14" spans="1:1" x14ac:dyDescent="0.3">
      <c r="A14" t="s">
        <v>83</v>
      </c>
    </row>
    <row r="15" spans="1:1" x14ac:dyDescent="0.3">
      <c r="A15" t="s">
        <v>9</v>
      </c>
    </row>
    <row r="16" spans="1:1" x14ac:dyDescent="0.3">
      <c r="A16" t="s">
        <v>531</v>
      </c>
    </row>
    <row r="17" spans="1:1" x14ac:dyDescent="0.3">
      <c r="A17" t="s">
        <v>263</v>
      </c>
    </row>
  </sheetData>
  <autoFilter ref="A1:A9" xr:uid="{A72982A7-A383-460C-819C-CB99827D5118}"/>
  <sortState xmlns:xlrd2="http://schemas.microsoft.com/office/spreadsheetml/2017/richdata2" ref="A1:A17">
    <sortCondition ref="A1:A17"/>
  </sortState>
  <dataValidations count="1">
    <dataValidation type="list" allowBlank="1" showInputMessage="1" showErrorMessage="1" sqref="A5" xr:uid="{5E929AC9-353F-4AA4-BBE8-4D151F64E008}">
      <formula1>$A$1:$A$22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9F981-676B-4DA5-9C0B-09607E6AEA57}">
  <sheetPr codeName="Feuil4"/>
  <dimension ref="B4:C5"/>
  <sheetViews>
    <sheetView workbookViewId="0"/>
  </sheetViews>
  <sheetFormatPr baseColWidth="10" defaultColWidth="11.44140625" defaultRowHeight="14.4" x14ac:dyDescent="0.3"/>
  <sheetData>
    <row r="4" spans="2:3" x14ac:dyDescent="0.3">
      <c r="B4" t="s">
        <v>308</v>
      </c>
      <c r="C4" t="s">
        <v>309</v>
      </c>
    </row>
    <row r="5" spans="2:3" x14ac:dyDescent="0.3">
      <c r="B5" t="s">
        <v>310</v>
      </c>
      <c r="C5" t="s">
        <v>311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5F1BED-1E65-4EAD-90FA-A9BF0A60BC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Stock</vt:lpstr>
      <vt:lpstr>Marques</vt:lpstr>
      <vt:lpstr>Fournisseurs</vt:lpstr>
      <vt:lpstr>Consomable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Dominique Dubourg</dc:creator>
  <cp:keywords/>
  <dc:description/>
  <cp:lastModifiedBy>Gabin Dubourg - Stirweld</cp:lastModifiedBy>
  <cp:revision/>
  <dcterms:created xsi:type="dcterms:W3CDTF">2024-09-06T09:59:02Z</dcterms:created>
  <dcterms:modified xsi:type="dcterms:W3CDTF">2025-07-03T07:25:22Z</dcterms:modified>
  <cp:category/>
  <cp:contentStatus/>
</cp:coreProperties>
</file>